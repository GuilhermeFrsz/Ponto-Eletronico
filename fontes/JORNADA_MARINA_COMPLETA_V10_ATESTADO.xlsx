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99eae50cf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s extras e saídas" sheetId="1" r:id="R942eca2c58e4459d"/>
    <x:sheet xmlns:r="http://schemas.openxmlformats.org/officeDocument/2006/relationships" name="Falhas de ponto" sheetId="2" r:id="Rd2e9c52c9ec44cf2"/>
    <x:sheet xmlns:r="http://schemas.openxmlformats.org/officeDocument/2006/relationships" name="Histórico das alterações" sheetId="3" r:id="R4f8edcfa0b294d0d"/>
    <x:sheet xmlns:r="http://schemas.openxmlformats.org/officeDocument/2006/relationships" name="Verificação Súmula 338" sheetId="4" r:id="R5a959c1e70694002"/>
    <x:sheet xmlns:r="http://schemas.openxmlformats.org/officeDocument/2006/relationships" name="Espelho completo (simulado)" sheetId="5" r:id="R184c8f5701084a5b"/>
    <x:sheet xmlns:r="http://schemas.openxmlformats.org/officeDocument/2006/relationships" name="Resumo mensal (simulado)" sheetId="6" r:id="R99cfbd06a1944c71"/>
    <x:sheet xmlns:r="http://schemas.openxmlformats.org/officeDocument/2006/relationships" name="Atestados e ajustes" sheetId="7" r:id="Rf673f9c5f999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"/>
    <x:numFmt numFmtId="165" formatCode="HH:MM"/>
    <x:numFmt numFmtId="166" formatCode="[h]&quot;h &quot;mm&quot;min&quot;"/>
    <x:numFmt numFmtId="167" formatCode="dd/mm/yyyy"/>
    <x:numFmt numFmtId="168" formatCode="hh:mm"/>
    <x:numFmt numFmtId="169" formatCode="[h]:mm"/>
  </x:numFmts>
  <x:fonts count="20">
    <x:font>
      <x:sz val="11"/>
      <x:color theme="1"/>
      <x:name val="Calibri"/>
    </x:font>
    <x:font>
      <x:b/>
      <x:sz val="15"/>
      <x:color rgb="FFFFFFFF"/>
      <x:name val="Aptos Display"/>
    </x:font>
    <x:font>
      <x:i/>
      <x:sz val="10"/>
      <x:color rgb="FF7F6000"/>
      <x:name val="Aptos"/>
    </x:font>
    <x:font>
      <x:b/>
      <x:sz val="10"/>
      <x:color rgb="FFFFFFFF"/>
    </x:font>
    <x:font>
      <x:sz val="10"/>
      <x:color rgb="FF222222"/>
      <x:name val="Aptos"/>
    </x:font>
    <x:font>
      <x:b/>
      <x:sz val="10"/>
      <x:color rgb="FF17365D"/>
    </x:font>
    <x:font>
      <x:i/>
      <x:sz val="10"/>
      <x:color rgb="FF404040"/>
      <x:name val="Aptos"/>
    </x:font>
    <x:font>
      <x:b/>
      <x:color rgb="FFFFFFFF"/>
    </x:font>
    <x:font>
      <x:sz val="10"/>
      <x:color rgb="FF202020"/>
      <x:name val="Aptos"/>
    </x:font>
    <x:font>
      <x:b/>
      <x:sz val="11"/>
      <x:color rgb="FFFFFFFF"/>
      <x:name val="Calibri"/>
    </x:font>
    <x:font>
      <x:b/>
      <x:sz val="11"/>
      <x:color rgb="FF17315D"/>
      <x:name val="Calibri"/>
    </x:font>
    <x:font>
      <x:b/>
      <x:sz val="15"/>
      <x:color rgb="FFFFFFFF"/>
      <x:name val="Calibri"/>
    </x:font>
    <x:font>
      <x:sz val="10"/>
      <x:color rgb="FF8A4D0F"/>
      <x:name val="Calibri"/>
    </x:font>
    <x:font>
      <x:sz val="10"/>
      <x:color rgb="FF26415F"/>
      <x:name val="Calibri"/>
    </x:font>
    <x:font>
      <x:b/>
      <x:sz val="10"/>
      <x:color rgb="FFFFFFFF"/>
      <x:name val="Calibri"/>
    </x:font>
    <x:font>
      <x:b/>
      <x:sz val="14"/>
      <x:color rgb="FFFFFFFF"/>
      <x:name val="Calibri"/>
    </x:font>
    <x:font>
      <x:sz val="11"/>
      <x:color rgb="FF9A3412"/>
      <x:name val="Calibri"/>
    </x:font>
    <x:font>
      <x:sz val="11"/>
      <x:color rgb="FF32465A"/>
      <x:name val="Calibri"/>
    </x:font>
    <x:font>
      <x:b/>
      <x:sz val="11"/>
      <x:color rgb="FF14532D"/>
      <x:name val="Calibri"/>
    </x:font>
    <x:font>
      <x:sz val="11"/>
      <x:color rgb="FF334155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17315D"/>
      </x:patternFill>
    </x:fill>
    <x:fill>
      <x:patternFill patternType="solid">
        <x:fgColor rgb="FFDCE8F6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EAF1F8"/>
      </x:patternFill>
    </x:fill>
    <x:fill>
      <x:patternFill patternType="solid">
        <x:fgColor rgb="FF2B507A"/>
      </x:patternFill>
    </x:fill>
    <x:fill>
      <x:patternFill patternType="solid">
        <x:fgColor rgb="FFFFF5DA"/>
      </x:patternFill>
    </x:fill>
    <x:fill>
      <x:patternFill patternType="solid">
        <x:fgColor rgb="FF0D4A6F"/>
      </x:patternFill>
    </x:fill>
    <x:fill>
      <x:patternFill patternType="solid">
        <x:fgColor rgb="FF103B57"/>
      </x:patternFill>
    </x:fill>
    <x:fill>
      <x:patternFill patternType="solid">
        <x:fgColor rgb="FFE9F2F9"/>
      </x:patternFill>
    </x:fill>
    <x:fill>
      <x:patternFill patternType="solid">
        <x:fgColor rgb="FFDBF1E7"/>
      </x:patternFill>
    </x:fill>
    <x:fill>
      <x:patternFill patternType="solid">
        <x:fgColor rgb="FFF4F6F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1F2"/>
      </x:bottom>
    </x:border>
    <x:border>
      <x:bottom style="medium">
        <x:color rgb="FFFFFFFF"/>
      </x:bottom>
    </x:border>
    <x:border/>
  </x:borders>
  <x:cellStyleXfs count="1">
    <x:xf numFmtId="0" fontId="0" fillId="0" borderId="0"/>
  </x:cellStyleXfs>
  <x:cellXfs count="135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164" fontId="4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0" fontId="5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4" fillId="3" borderId="2" xfId="0" applyAlignment="1">
      <x:alignment vertical="top" wrapText="1"/>
    </x:xf>
    <x:xf numFmtId="0" fontId="5" fillId="3" borderId="2" xfId="0" applyAlignment="1">
      <x:alignment vertical="top" wrapText="1"/>
    </x:xf>
    <x:xf numFmtId="164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1" fillId="2" borderId="0" xfId="0" applyAlignment="1">
      <x:alignment horizontal="left" vertical="center"/>
    </x:xf>
    <x:xf numFmtId="0" fontId="6" fillId="7" borderId="0" xfId="0" applyAlignment="1">
      <x:alignment vertical="center" wrapText="1"/>
    </x:xf>
    <x:xf numFmtId="0" fontId="7" fillId="2" borderId="3" xfId="0" applyAlignment="1">
      <x:alignment horizontal="center" vertical="center" wrapText="1"/>
    </x:xf>
    <x:xf numFmtId="167" fontId="8" fillId="8" borderId="2" xfId="0" applyAlignment="1">
      <x:alignment vertical="top"/>
    </x:xf>
    <x:xf numFmtId="0" fontId="8" fillId="8" borderId="2" xfId="0" applyAlignment="1">
      <x:alignment vertical="top"/>
    </x:xf>
    <x:xf numFmtId="168" fontId="8" fillId="8" borderId="2" xfId="0" applyAlignment="1">
      <x:alignment vertical="top"/>
    </x:xf>
    <x:xf numFmtId="0" fontId="8" fillId="8" borderId="2" xfId="0" applyAlignment="1">
      <x:alignment vertical="top" wrapText="1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0" fontId="8" fillId="3" borderId="2" xfId="0" applyAlignment="1">
      <x:alignment vertical="top"/>
    </x:xf>
    <x:xf numFmtId="168" fontId="8" fillId="3" borderId="2" xfId="0" applyAlignment="1">
      <x:alignment vertical="top"/>
    </x:xf>
    <x:xf numFmtId="0" fontId="8" fillId="3" borderId="2" xfId="0" applyAlignment="1">
      <x:alignment vertical="top" wrapText="1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0" fontId="8" fillId="9" borderId="2" xfId="0" applyAlignment="1">
      <x:alignment vertical="top"/>
    </x:xf>
    <x:xf numFmtId="168" fontId="8" fillId="9" borderId="2" xfId="0" applyAlignment="1">
      <x:alignment vertical="top"/>
    </x:xf>
    <x:xf numFmtId="0" fontId="8" fillId="9" borderId="2" xfId="0" applyAlignment="1">
      <x:alignment vertical="top" wrapText="1"/>
    </x:xf>
    <x:xf numFmtId="169" fontId="8" fillId="9" borderId="2" xfId="0" applyAlignment="1">
      <x:alignment vertical="top"/>
    </x:xf>
    <x:xf numFmtId="0" fontId="7" fillId="2" borderId="1" xfId="0" applyAlignment="1">
      <x:alignment horizontal="center" vertical="center" wrapText="1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8" fillId="5" borderId="2" xfId="0" applyAlignment="1">
      <x:alignment vertical="top" wrapText="1"/>
    </x:xf>
    <x:xf numFmtId="167" fontId="8" fillId="8" borderId="2" xfId="0" applyAlignment="1">
      <x:alignment vertical="top"/>
    </x:xf>
    <x:xf numFmtId="168" fontId="8" fillId="8" borderId="2" xfId="0" applyAlignment="1">
      <x:alignment vertical="top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168" fontId="8" fillId="3" borderId="2" xfId="0" applyAlignment="1">
      <x:alignment vertical="top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168" fontId="8" fillId="9" borderId="2" xfId="0" applyAlignment="1">
      <x:alignment vertical="top"/>
    </x:xf>
    <x:xf numFmtId="169" fontId="8" fillId="9" borderId="2" xfId="0" applyAlignment="1">
      <x:alignment vertical="top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164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165" fontId="4" fillId="5" borderId="2" xfId="0" applyNumberFormat="1" applyFont="1" applyFill="1" applyBorder="1" applyAlignment="1">
      <x:alignment vertical="top" wrapText="1"/>
    </x:xf>
    <x:xf numFmtId="166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164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167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/>
    </x:xf>
    <x:xf numFmtId="168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 wrapText="1"/>
    </x:xf>
    <x:xf numFmtId="169" fontId="8" fillId="8" borderId="2" xfId="0" applyNumberFormat="1" applyFont="1" applyFill="1" applyBorder="1" applyAlignment="1">
      <x:alignment vertical="top"/>
    </x:xf>
    <x:xf numFmtId="167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/>
    </x:xf>
    <x:xf numFmtId="168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 wrapText="1"/>
    </x:xf>
    <x:xf numFmtId="169" fontId="8" fillId="3" borderId="2" xfId="0" applyNumberFormat="1" applyFont="1" applyFill="1" applyBorder="1" applyAlignment="1">
      <x:alignment vertical="top"/>
    </x:xf>
    <x:xf numFmtId="167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/>
    </x:xf>
    <x:xf numFmtId="168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 wrapText="1"/>
    </x:xf>
    <x:xf numFmtId="169" fontId="8" fillId="9" borderId="2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167" fontId="8" fillId="3" borderId="2" xfId="0" applyNumberFormat="1" applyFont="1" applyFill="1" applyBorder="1" applyAlignment="1">
      <x:alignment vertical="top" wrapText="1"/>
    </x:xf>
    <x:xf numFmtId="167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0" fillId="0" borderId="4" xfId="0" applyNumberFormat="1" applyFont="1" applyFill="1" applyBorder="1"/>
    <x:xf numFmtId="168" fontId="0" fillId="0" borderId="0" xfId="0" applyNumberFormat="1" applyFont="1" applyFill="1" applyBorder="1"/>
    <x:xf numFmtId="168" fontId="0" fillId="0" borderId="4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4" xfId="0" applyNumberFormat="1" applyFont="1" applyFill="1" applyBorder="1"/>
    <x:xf numFmtId="0" fontId="9" fillId="10" borderId="4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5" fillId="13" borderId="0" xfId="0" applyNumberFormat="1" applyFont="1" applyFill="1" applyBorder="1"/>
    <x:xf numFmtId="0" fontId="0" fillId="2" borderId="0" xfId="0" applyNumberFormat="1" applyFont="1" applyFill="1" applyBorder="1"/>
    <x:xf numFmtId="0" fontId="11" fillId="2" borderId="0" xfId="0" applyNumberFormat="1" applyFont="1" applyFill="1" applyBorder="1"/>
    <x:xf numFmtId="0" fontId="15" fillId="2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wrapText="1"/>
    </x:xf>
    <x:xf numFmtId="167" fontId="0" fillId="17" borderId="0" xfId="0" applyNumberFormat="1" applyFont="1" applyFill="1" applyBorder="1"/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0f6f42a5a415a" /><Relationship Type="http://schemas.openxmlformats.org/officeDocument/2006/relationships/theme" Target="/xl/theme/theme1.xml" Id="Ref5985236d5b41b1" /><Relationship Type="http://schemas.openxmlformats.org/officeDocument/2006/relationships/sharedStrings" Target="/xl/sharedStrings.xml" Id="R9e1828fd1d9c4c3f" /><Relationship Type="http://schemas.openxmlformats.org/officeDocument/2006/relationships/worksheet" Target="/xl/worksheets/sheet1.xml" Id="R942eca2c58e4459d" /><Relationship Type="http://schemas.openxmlformats.org/officeDocument/2006/relationships/worksheet" Target="/xl/worksheets/sheet2.xml" Id="Rd2e9c52c9ec44cf2" /><Relationship Type="http://schemas.openxmlformats.org/officeDocument/2006/relationships/worksheet" Target="/xl/worksheets/sheet3.xml" Id="R4f8edcfa0b294d0d" /><Relationship Type="http://schemas.openxmlformats.org/officeDocument/2006/relationships/worksheet" Target="/xl/worksheets/sheet4.xml" Id="R5a959c1e70694002" /><Relationship Type="http://schemas.openxmlformats.org/officeDocument/2006/relationships/worksheet" Target="/xl/worksheets/sheet5.xml" Id="R184c8f5701084a5b" /><Relationship Type="http://schemas.openxmlformats.org/officeDocument/2006/relationships/worksheet" Target="/xl/worksheets/sheet6.xml" Id="R99cfbd06a1944c71" /><Relationship Type="http://schemas.openxmlformats.org/officeDocument/2006/relationships/worksheet" Target="/xl/worksheets/sheet7.xml" Id="Rf673f9c5f99946a1" /></Relationships>
</file>

<file path=xl/tables/table1.xml><?xml version="1.0" encoding="utf-8"?>
<x:table xmlns:x="http://schemas.openxmlformats.org/spreadsheetml/2006/main" id="1" name="TabelaHoras" displayName="TabelaHoras" ref="A4:L114" headerRowCount="1">
  <x:autoFilter ref="A4:L114"/>
  <x:tableColumns count="12">
    <x:tableColumn id="1" name="Data"/>
    <x:tableColumn id="2" name="Dia da semana"/>
    <x:tableColumn id="3" name="Entrada"/>
    <x:tableColumn id="4" name="Início do intervalo"/>
    <x:tableColumn id="5" name="Fim do intervalo"/>
    <x:tableColumn id="6" name="Saída efetiva"/>
    <x:tableColumn id="7" name="Jornada normal de referência"/>
    <x:tableColumn id="8" name="Início da conferência"/>
    <x:tableColumn id="9" name="Fim da conferência"/>
    <x:tableColumn id="10" name="Tempo transcorrido após fim normal"/>
    <x:tableColumn id="11" name="Classificação da informaçã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alhas" displayName="TabelaFalhas" ref="A4:I59" headerRowCount="1">
  <x:autoFilter ref="A4:I59"/>
  <x:tableColumns count="9">
    <x:tableColumn id="1" name="Data"/>
    <x:tableColumn id="2" name="Dia da semana"/>
    <x:tableColumn id="3" name="Tipo de batida não registrada"/>
    <x:tableColumn id="4" name="Horário previsto afetado"/>
    <x:tableColumn id="5" name="Motivo da falha"/>
    <x:tableColumn id="6" name="Observação para lançamento/ajuste manual"/>
    <x:tableColumn id="7" name="Responsável pelo ajuste"/>
    <x:tableColumn id="8" name="Origem do registro"/>
    <x:tableColumn id="9" name="Limitação / nota de consis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8c637b8a542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9b9a27d35d459e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17" customWidth="1"/>
    <x:col min="5" max="5" width="16" customWidth="1"/>
    <x:col min="6" max="6" width="22" customWidth="1"/>
    <x:col min="7" max="7" width="33" customWidth="1"/>
    <x:col min="8" max="8" width="18" customWidth="1"/>
    <x:col min="9" max="9" width="18" customWidth="1"/>
    <x:col min="10" max="10" width="22" customWidth="1"/>
    <x:col min="11" max="11" width="39" customWidth="1"/>
    <x:col min="12" max="12" width="75" customWidth="1"/>
  </x:cols>
  <x:sheetData>
    <x:row r="1" ht="30" customHeight="1">
      <x:c r="A1" s="16" t="str">
        <x:v>JORNADA DE MARINA — CONFERÊNCIAS E SAÍDAS (BASE REVISADA)</x:v>
      </x:c>
    </x:row>
    <x:row r="2" ht="50" customHeight="1">
      <x:c r="A2" s="17" t="str">
        <x:v>Dados demonstrativos/revisados (não são comprovantes de batida). Entradas e saídas devem corresponder aos registros originais; horários regulares da escala não devem ser apresentados como ponto efetivamente batido. Correção em 12/06/2025 informada pelo usuário, pendente de confronto com comprovante.</x:v>
      </x:c>
    </x:row>
    <x:row r="4" ht="42" customHeight="1">
      <x:c r="A4" s="18" t="inlineStr">
        <x:is>
          <x:t xml:space="preserve">Data</x:t>
        </x:is>
      </x:c>
      <x:c r="B4" s="18" t="inlineStr">
        <x:is>
          <x:t xml:space="preserve">Dia da semana</x:t>
        </x:is>
      </x:c>
      <x:c r="C4" s="18" t="inlineStr">
        <x:is>
          <x:t xml:space="preserve">Entrada</x:t>
        </x:is>
      </x:c>
      <x:c r="D4" s="18" t="inlineStr">
        <x:is>
          <x:t xml:space="preserve">Início do intervalo</x:t>
        </x:is>
      </x:c>
      <x:c r="E4" s="18" t="inlineStr">
        <x:is>
          <x:t xml:space="preserve">Fim do intervalo</x:t>
        </x:is>
      </x:c>
      <x:c r="F4" s="18" t="inlineStr">
        <x:is>
          <x:t xml:space="preserve">Saída considerada na simulação</x:t>
        </x:is>
      </x:c>
      <x:c r="G4" s="18" t="inlineStr">
        <x:is>
          <x:t xml:space="preserve">Jornada normal de referência</x:t>
        </x:is>
      </x:c>
      <x:c r="H4" s="18" t="inlineStr">
        <x:is>
          <x:t xml:space="preserve">Início da conferência</x:t>
        </x:is>
      </x:c>
      <x:c r="I4" s="18" t="inlineStr">
        <x:is>
          <x:t xml:space="preserve">Fim da conferência</x:t>
        </x:is>
      </x:c>
      <x:c r="J4" s="18" t="inlineStr">
        <x:is>
          <x:t xml:space="preserve">Tempo além da jornada normal</x:t>
        </x:is>
      </x:c>
      <x:c r="K4" s="18" t="inlineStr">
        <x:is>
          <x:t xml:space="preserve">Classificação do registro</x:t>
        </x:is>
      </x:c>
      <x:c r="L4" s="18" t="inlineStr">
        <x:is>
          <x:t xml:space="preserve">Observações</x:t>
        </x:is>
      </x:c>
    </x:row>
    <x:row r="5" ht="55" customHeight="1">
      <x:c r="A5" s="38" t="n">
        <x:v>45729</x:v>
      </x:c>
      <x:c r="B5" s="20" t="str">
        <x:v>quinta-feira</x:v>
      </x:c>
      <x:c r="C5" s="39" t="n">
        <x:v>0.5395833333333333</x:v>
      </x:c>
      <x:c r="D5" s="39" t="n">
        <x:v>0.6840277777777778</x:v>
      </x:c>
      <x:c r="E5" s="39" t="n">
        <x:v>0.7256944444444444</x:v>
      </x:c>
      <x:c r="F5" s="39" t="n">
        <x:v>0.8875</x:v>
      </x:c>
      <x:c r="G5" s="22" t="str">
        <x:v>Segunda a sexta: entrada por volta de 13h; intervalo de cerca de 1 hora; saída habitual por volta de 21h20</x:v>
      </x:c>
      <x:c r="H5" s="39" t="n">
        <x:v>0.8791666666666667</x:v>
      </x:c>
      <x:c r="I5" s="39" t="n">
        <x:v>0.8847222222222222</x:v>
      </x:c>
      <x:c r="J5" s="40" t="n">
        <x:v>0</x:v>
      </x:c>
      <x:c r="K5" s="22" t="str">
        <x:v>Conferência alinhada à planilha-base</x:v>
      </x:c>
      <x:c r="L5" s="22" t="str">
        <x:v>Data e horários de conferência/saída conferidos com a aba “CONFERÊNCIA DE CAIXA” da planilha-base: conferência 21:06–21:14; saída 21:18. Horários de entrada e intervalo permanecem como dados ilustrativos desta simulação.</x:v>
      </x:c>
    </x:row>
    <x:row r="6" ht="55" customHeight="1">
      <x:c r="A6" s="41" t="n">
        <x:v>45731</x:v>
      </x:c>
      <x:c r="B6" s="25" t="str">
        <x:v>sábado</x:v>
      </x:c>
      <x:c r="C6" s="42" t="n">
        <x:v>0.5451388888888888</x:v>
      </x:c>
      <x:c r="D6" s="42" t="n">
        <x:v>0.6458333333333334</x:v>
      </x:c>
      <x:c r="E6" s="42" t="n">
        <x:v>0.6875</x:v>
      </x:c>
      <x:c r="F6" s="42" t="n">
        <x:v>0.9138888888888889</x:v>
      </x:c>
      <x:c r="G6" s="27" t="str">
        <x:v>Sábado excepcional: entrada por volta de 13h; intervalo de 1h; saída excepcional após 21h</x:v>
      </x:c>
      <x:c r="H6" s="42" t="n">
        <x:v>0.9</x:v>
      </x:c>
      <x:c r="I6" s="42" t="n">
        <x:v>0.9111111111111111</x:v>
      </x:c>
      <x:c r="J6" s="43" t="n">
        <x:v>0.20555555555555555</x:v>
      </x:c>
      <x:c r="K6" s="27" t="str">
        <x:v>Sábado excepcional — encerramento às 21h56</x:v>
      </x:c>
      <x:c r="L6" s="27" t="str">
        <x:v>Data e horários conferidos com a aba “CONFERÊNCIA DE CAIXA” da planilha-base: conferência 21:36–21:52 e saída 21:56. Jornada excepcional simulada; intervalo de 1h (15:30–16:30). Confirmar registros reais antes de qualquer conclusão sobre horas extras.</x:v>
      </x:c>
    </x:row>
    <x:row r="7" ht="55" customHeight="1">
      <x:c r="A7" s="38" t="n">
        <x:v>45736</x:v>
      </x:c>
      <x:c r="B7" s="20" t="str">
        <x:v>quinta-feira</x:v>
      </x:c>
      <x:c r="C7" s="39" t="n">
        <x:v>0.54375</x:v>
      </x:c>
      <x:c r="D7" s="39" t="n">
        <x:v>0.6840277777777778</x:v>
      </x:c>
      <x:c r="E7" s="39" t="n">
        <x:v>0.7222222222222222</x:v>
      </x:c>
      <x:c r="F7" s="39" t="n">
        <x:v>0.8888888888888888</x:v>
      </x:c>
      <x:c r="G7" s="22" t="str">
        <x:v>Segunda a sexta: entrada por volta de 13h; intervalo de cerca de 1 hora; saída habitual por volta de 21h20</x:v>
      </x:c>
      <x:c r="H7" s="39" t="n">
        <x:v>0.88125</x:v>
      </x:c>
      <x:c r="I7" s="39" t="n">
        <x:v>0.8868055555555555</x:v>
      </x:c>
      <x:c r="J7" s="40" t="n">
        <x:v>0</x:v>
      </x:c>
      <x:c r="K7" s="22" t="str">
        <x:v>Conferência alinhada à planilha-base</x:v>
      </x:c>
      <x:c r="L7" s="22" t="str">
        <x:v>Data e horários de conferência/saída conferidos com a aba “CONFERÊNCIA DE CAIXA” da planilha-base: conferência 21:09–21:17; saída 21:20. Horários de entrada e intervalo permanecem como dados ilustrativos desta simulação.</x:v>
      </x:c>
    </x:row>
    <x:row r="8" ht="55" customHeight="1">
      <x:c r="A8" s="44" t="n">
        <x:v>45742</x:v>
      </x:c>
      <x:c r="B8" s="30" t="str">
        <x:v>quarta-feira</x:v>
      </x:c>
      <x:c r="C8" s="45" t="n">
        <x:v>0.5465277777777777</x:v>
      </x:c>
      <x:c r="D8" s="45" t="n">
        <x:v>0.6875</x:v>
      </x:c>
      <x:c r="E8" s="45" t="n">
        <x:v>0.7284722222222222</x:v>
      </x:c>
      <x:c r="F8" s="45" t="n">
        <x:v>0.8895833333333333</x:v>
      </x:c>
      <x:c r="G8" s="32" t="str">
        <x:v>Segunda a sexta: entrada por volta de 13h; intervalo de cerca de 1 hora; saída habitual por volta de 21h20</x:v>
      </x:c>
      <x:c r="H8" s="45" t="n">
        <x:v>0.8805555555555555</x:v>
      </x:c>
      <x:c r="I8" s="45" t="n">
        <x:v>0.8881944444444444</x:v>
      </x:c>
      <x:c r="J8" s="46" t="n">
        <x:v>0.0006944444444444445</x:v>
      </x:c>
      <x:c r="K8" s="32" t="str">
        <x:v>Conferência alinhada à planilha-base</x:v>
      </x:c>
      <x:c r="L8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9" ht="55" customHeight="1">
      <x:c r="A9" s="38" t="n">
        <x:v>45756</x:v>
      </x:c>
      <x:c r="B9" s="20" t="str">
        <x:v>quarta-feira</x:v>
      </x:c>
      <x:c r="C9" s="39" t="n">
        <x:v>0.5430555555555555</x:v>
      </x:c>
      <x:c r="D9" s="39" t="n">
        <x:v>0.6840277777777778</x:v>
      </x:c>
      <x:c r="E9" s="39" t="n">
        <x:v>0.7256944444444444</x:v>
      </x:c>
      <x:c r="F9" s="39" t="n">
        <x:v>0.8902777777777777</x:v>
      </x:c>
      <x:c r="G9" s="22" t="str">
        <x:v>Segunda a sexta: entrada por volta de 13h; intervalo de cerca de 1 hora; saída habitual por volta de 21h20</x:v>
      </x:c>
      <x:c r="H9" s="39" t="n">
        <x:v>0.8805555555555555</x:v>
      </x:c>
      <x:c r="I9" s="39" t="n">
        <x:v>0.8875</x:v>
      </x:c>
      <x:c r="J9" s="40" t="n">
        <x:v>0.001388888888888889</x:v>
      </x:c>
      <x:c r="K9" s="22" t="str">
        <x:v>Conferência alinhada à planilha-base</x:v>
      </x:c>
      <x:c r="L9" s="22" t="str">
        <x:v>Data e horários de conferência/saída conferidos com a aba “CONFERÊNCIA DE CAIXA” da planilha-base: conferência 21:08–21:18; saída 21:22. Horários de entrada e intervalo permanecem como dados ilustrativos desta simulação.</x:v>
      </x:c>
    </x:row>
    <x:row r="10" ht="55" customHeight="1">
      <x:c r="A10" s="44" t="n">
        <x:v>45764</x:v>
      </x:c>
      <x:c r="B10" s="30" t="str">
        <x:v>quinta-feira</x:v>
      </x:c>
      <x:c r="C10" s="45" t="n">
        <x:v>0.5465277777777777</x:v>
      </x:c>
      <x:c r="D10" s="45" t="n">
        <x:v>0.6805555555555556</x:v>
      </x:c>
      <x:c r="E10" s="45" t="n">
        <x:v>0.7208333333333333</x:v>
      </x:c>
      <x:c r="F10" s="45" t="n">
        <x:v>0.8902777777777777</x:v>
      </x:c>
      <x:c r="G10" s="32" t="str">
        <x:v>Segunda a sexta: entrada por volta de 13h; intervalo de cerca de 1 hora; saída habitual por volta de 21h20</x:v>
      </x:c>
      <x:c r="H10" s="45" t="n">
        <x:v>0.8784722222222222</x:v>
      </x:c>
      <x:c r="I10" s="45" t="n">
        <x:v>0.8875</x:v>
      </x:c>
      <x:c r="J10" s="46" t="n">
        <x:v>0.001388888888888889</x:v>
      </x:c>
      <x:c r="K10" s="32" t="str">
        <x:v>Conferência alinhada à planilha-base</x:v>
      </x:c>
      <x:c r="L10" s="32" t="str">
        <x:v>Data e horários de conferência/saída conferidos com a aba “CONFERÊNCIA DE CAIXA” da planilha-base: conferência 21:05–21:18; saída 21:22. Horários de entrada e intervalo permanecem como dados ilustrativos desta simulação.</x:v>
      </x:c>
    </x:row>
    <x:row r="11" ht="55" customHeight="1">
      <x:c r="A11" s="38" t="n">
        <x:v>45770</x:v>
      </x:c>
      <x:c r="B11" s="20" t="str">
        <x:v>quarta-feira</x:v>
      </x:c>
      <x:c r="C11" s="39" t="n">
        <x:v>0.5416666666666666</x:v>
      </x:c>
      <x:c r="D11" s="39" t="n">
        <x:v>0.6666666666666666</x:v>
      </x:c>
      <x:c r="E11" s="39" t="n">
        <x:v>0.7083333333333334</x:v>
      </x:c>
      <x:c r="F11" s="39" t="n">
        <x:v>0.8895833333333333</x:v>
      </x:c>
      <x:c r="G11" s="22" t="str">
        <x:v>Segunda a sexta: entrada por volta de 13h; intervalo de cerca de 1 hora; saída habitual por volta de 21h20</x:v>
      </x:c>
      <x:c r="H11" s="39" t="n">
        <x:v>0.8791666666666667</x:v>
      </x:c>
      <x:c r="I11" s="39" t="n">
        <x:v>0.8881944444444444</x:v>
      </x:c>
      <x:c r="J11" s="40" t="n">
        <x:v>0.0006944444444444445</x:v>
      </x:c>
      <x:c r="K11" s="22" t="str">
        <x:v>Conferência alinhada à planilha-base</x:v>
      </x:c>
      <x:c r="L11" s="22" t="str">
        <x:v>Data e horários de conferência/saída conferidos com a aba “CONFERÊNCIA DE CAIXA” da planilha-base: conferência 21:06–21:19; saída 21:21. Horários de entrada e intervalo permanecem como dados ilustrativos desta simulação.</x:v>
      </x:c>
    </x:row>
    <x:row r="12" ht="55" customHeight="1">
      <x:c r="A12" s="44" t="n">
        <x:v>45792</x:v>
      </x:c>
      <x:c r="B12" s="30" t="str">
        <x:v>quinta-feira</x:v>
      </x:c>
      <x:c r="C12" s="45" t="n">
        <x:v>0.5402777777777777</x:v>
      </x:c>
      <x:c r="D12" s="45" t="n">
        <x:v>0.6944444444444444</x:v>
      </x:c>
      <x:c r="E12" s="45" t="n">
        <x:v>0.7381944444444445</x:v>
      </x:c>
      <x:c r="F12" s="45" t="n">
        <x:v>0.8875</x:v>
      </x:c>
      <x:c r="G12" s="32" t="str">
        <x:v>Segunda a sexta: entrada por volta de 13h; intervalo de cerca de 1 hora; saída habitual por volta de 21h20</x:v>
      </x:c>
      <x:c r="H12" s="45" t="n">
        <x:v>0.8770833333333333</x:v>
      </x:c>
      <x:c r="I12" s="45" t="n">
        <x:v>0.8847222222222222</x:v>
      </x:c>
      <x:c r="J12" s="46" t="n">
        <x:v>0</x:v>
      </x:c>
      <x:c r="K12" s="32" t="str">
        <x:v>Conferência alinhada à planilha-base</x:v>
      </x:c>
      <x:c r="L12" s="32" t="str">
        <x:v>Data e horários de conferência/saída conferidos com a aba “CONFERÊNCIA DE CAIXA” da planilha-base: conferência 21:03–21:14; saída 21:18. Horários de entrada e intervalo permanecem como dados ilustrativos desta simulação.</x:v>
      </x:c>
    </x:row>
    <x:row r="13" ht="55" customHeight="1">
      <x:c r="A13" s="38" t="n">
        <x:v>45805</x:v>
      </x:c>
      <x:c r="B13" s="20" t="str">
        <x:v>quarta-feira</x:v>
      </x:c>
      <x:c r="C13" s="39" t="n">
        <x:v>0.5395833333333333</x:v>
      </x:c>
      <x:c r="D13" s="39" t="n">
        <x:v>0.6840277777777778</x:v>
      </x:c>
      <x:c r="E13" s="39" t="n">
        <x:v>0.7229166666666667</x:v>
      </x:c>
      <x:c r="F13" s="39" t="n">
        <x:v>0.8888888888888888</x:v>
      </x:c>
      <x:c r="G13" s="22" t="str">
        <x:v>Segunda a sexta: entrada por volta de 13h; intervalo de cerca de 1 hora; saída habitual por volta de 21h20</x:v>
      </x:c>
      <x:c r="H13" s="39" t="n">
        <x:v>0.8784722222222222</x:v>
      </x:c>
      <x:c r="I13" s="39" t="n">
        <x:v>0.8861111111111111</x:v>
      </x:c>
      <x:c r="J13" s="40" t="n">
        <x:v>0</x:v>
      </x:c>
      <x:c r="K13" s="22" t="str">
        <x:v>Conferência alinhada à planilha-base</x:v>
      </x:c>
      <x:c r="L13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4" ht="55" customHeight="1">
      <x:c r="A14" s="44" t="n">
        <x:v>45812</x:v>
      </x:c>
      <x:c r="B14" s="30" t="str">
        <x:v>quarta-feira</x:v>
      </x:c>
      <x:c r="C14" s="45" t="n">
        <x:v>0.5423611111111111</x:v>
      </x:c>
      <x:c r="D14" s="45" t="n">
        <x:v>0.6701388888888888</x:v>
      </x:c>
      <x:c r="E14" s="45" t="n">
        <x:v>0.7118055555555556</x:v>
      </x:c>
      <x:c r="F14" s="45" t="n">
        <x:v>0.8881944444444444</x:v>
      </x:c>
      <x:c r="G14" s="32" t="str">
        <x:v>Segunda a sexta: entrada por volta de 13h; intervalo de cerca de 1 hora; saída habitual por volta de 21h20</x:v>
      </x:c>
      <x:c r="H14" s="45" t="n">
        <x:v>0.8784722222222222</x:v>
      </x:c>
      <x:c r="I14" s="45" t="n">
        <x:v>0.8868055555555555</x:v>
      </x:c>
      <x:c r="J14" s="46" t="n">
        <x:v>0</x:v>
      </x:c>
      <x:c r="K14" s="32" t="str">
        <x:v>Conferência alinhada à planilha-base</x:v>
      </x:c>
      <x:c r="L14" s="32" t="str">
        <x:v>Data e horários de conferência/saída conferidos com a aba “CONFERÊNCIA DE CAIXA” da planilha-base: conferência 21:05–21:17; saída 21:19. Horários de entrada e intervalo permanecem como dados ilustrativos desta simulação.</x:v>
      </x:c>
    </x:row>
    <x:row r="15" ht="55" customHeight="1">
      <x:c r="A15" s="41" t="n">
        <x:v>45815</x:v>
      </x:c>
      <x:c r="B15" s="25" t="str">
        <x:v>sábado</x:v>
      </x:c>
      <x:c r="C15" s="42" t="n">
        <x:v>0.5388888888888889</x:v>
      </x:c>
      <x:c r="D15" s="42"/>
      <x:c r="E15" s="42"/>
      <x:c r="F15" s="42" t="n">
        <x:v>0.7090277777777778</x:v>
      </x:c>
      <x:c r="G15" s="27" t="str">
        <x:v>Sábado: entrada por volta de 13h; saída habitual próxima das 17h; sem intervalo</x:v>
      </x:c>
      <x:c r="H15" s="42" t="n">
        <x:v>0.6986111111111111</x:v>
      </x:c>
      <x:c r="I15" s="42" t="n">
        <x:v>0.7069444444444445</x:v>
      </x:c>
      <x:c r="J15" s="43" t="n">
        <x:v>0.0006944444444444445</x:v>
      </x:c>
      <x:c r="K15" s="27" t="str">
        <x:v>Sábado; encerramento próximo ao horário habitual</x:v>
      </x:c>
      <x:c r="L15" s="27" t="str">
        <x:v>Data conferida com a aba “CONFERÊNCIA DE CAIXA” da planilha-base: conferência 16:46–16:58 e saída 17:01. Sábado normalmente sem intervalo; conferir a jornada efetiva se houver divergência com registros reais.</x:v>
      </x:c>
    </x:row>
    <x:row r="16" ht="55" customHeight="1">
      <x:c r="A16" s="44" t="n">
        <x:v>45820</x:v>
      </x:c>
      <x:c r="B16" s="30" t="str">
        <x:v>quinta-feira</x:v>
      </x:c>
      <x:c r="C16" s="45" t="n">
        <x:v>0.5416666666666666</x:v>
      </x:c>
      <x:c r="D16" s="45" t="n">
        <x:v>0.6666666666666666</x:v>
      </x:c>
      <x:c r="E16" s="45" t="n">
        <x:v>0.7083333333333334</x:v>
      </x:c>
      <x:c r="F16" s="45" t="n">
        <x:v>0.9166666666666666</x:v>
      </x:c>
      <x:c r="G16" s="32" t="str">
        <x:v>Jornada diária de referência: 7h20 de trabalho líquido. Exceção em 12/06/2025 informada pelo usuário.</x:v>
      </x:c>
      <x:c r="H16" s="45" t="n">
        <x:v>0.8777777777777778</x:v>
      </x:c>
      <x:c r="I16" s="45" t="n">
        <x:v>0.8861111111111111</x:v>
      </x:c>
      <x:c r="J16" s="46" t="n">
        <x:v>0.027777777777777776</x:v>
      </x:c>
      <x:c r="K16" s="32" t="str">
        <x:v>Prorrogação de jornada — saída às 22h00 informada para 12/06/2025</x:v>
      </x:c>
      <x:c r="L16" s="32" t="str">
        <x:v>Retificação solicitada em 22/10/2026 para a data correta 12/06/2025: 13h00, intervalo 16h00–17h00, saída 22h00, 8h00 líquidas, +00h40. Registro anterior da planilha: 13h01, intervalo 16h25–17h28, saída 21h20; conferência original 21h04–21h16. Dados anteriores preservados na aba Histórico das alterações. Confirmação depende do comprovante original de batida.</x:v>
      </x:c>
    </x:row>
    <x:row r="17" ht="55" customHeight="1">
      <x:c r="A17" s="38" t="n">
        <x:v>45821</x:v>
      </x:c>
      <x:c r="B17" s="20" t="str">
        <x:v>sexta-feira</x:v>
      </x:c>
      <x:c r="C17" s="39" t="n">
        <x:v>0.54375</x:v>
      </x:c>
      <x:c r="D17" s="39" t="n">
        <x:v>0.6770833333333334</x:v>
      </x:c>
      <x:c r="E17" s="39" t="n">
        <x:v>0.7194444444444444</x:v>
      </x:c>
      <x:c r="F17" s="39" t="n">
        <x:v>0.8895833333333333</x:v>
      </x:c>
      <x:c r="G17" s="22" t="str">
        <x:v>Segunda a sexta: entrada por volta de 13h; intervalo de cerca de 1 hora; saída habitual por volta de 21h20</x:v>
      </x:c>
      <x:c r="H17" s="39" t="n">
        <x:v>0.8819444444444444</x:v>
      </x:c>
      <x:c r="I17" s="39" t="n">
        <x:v>0.8881944444444444</x:v>
      </x:c>
      <x:c r="J17" s="40" t="n">
        <x:v>0.0006944444444444445</x:v>
      </x:c>
      <x:c r="K17" s="22" t="str">
        <x:v>Conferência alinhada à planilha-base</x:v>
      </x:c>
      <x:c r="L17" s="22" t="str">
        <x:v>Data e horários de conferência/saída conferidos com a aba “CONFERÊNCIA DE CAIXA” da planilha-base: conferência 21:10–21:19; saída 21:21. Horários de entrada e intervalo permanecem como dados ilustrativos desta simulação.</x:v>
      </x:c>
    </x:row>
    <x:row r="18" ht="55" customHeight="1">
      <x:c r="A18" s="44" t="n">
        <x:v>45826</x:v>
      </x:c>
      <x:c r="B18" s="30" t="str">
        <x:v>quarta-feira</x:v>
      </x:c>
      <x:c r="C18" s="45" t="n">
        <x:v>0.5458333333333333</x:v>
      </x:c>
      <x:c r="D18" s="45" t="n">
        <x:v>0.6805555555555556</x:v>
      </x:c>
      <x:c r="E18" s="45" t="n">
        <x:v>0.7194444444444444</x:v>
      </x:c>
      <x:c r="F18" s="45" t="n">
        <x:v>0.8888888888888888</x:v>
      </x:c>
      <x:c r="G18" s="32" t="str">
        <x:v>Segunda a sexta: entrada por volta de 13h; intervalo de cerca de 1 hora; saída habitual por volta de 21h20</x:v>
      </x:c>
      <x:c r="H18" s="45" t="n">
        <x:v>0.8784722222222222</x:v>
      </x:c>
      <x:c r="I18" s="45" t="n">
        <x:v>0.8861111111111111</x:v>
      </x:c>
      <x:c r="J18" s="46" t="n">
        <x:v>0</x:v>
      </x:c>
      <x:c r="K18" s="32" t="str">
        <x:v>Conferência alinhada à planilha-base</x:v>
      </x:c>
      <x:c r="L18" s="3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9" ht="55" customHeight="1">
      <x:c r="A19" s="38" t="n">
        <x:v>45842</x:v>
      </x:c>
      <x:c r="B19" s="20" t="str">
        <x:v>sexta-feira</x:v>
      </x:c>
      <x:c r="C19" s="39" t="n">
        <x:v>0.5451388888888888</x:v>
      </x:c>
      <x:c r="D19" s="39" t="n">
        <x:v>0.6666666666666666</x:v>
      </x:c>
      <x:c r="E19" s="39" t="n">
        <x:v>0.7055555555555556</x:v>
      </x:c>
      <x:c r="F19" s="39" t="n">
        <x:v>0.88125</x:v>
      </x:c>
      <x:c r="G19" s="22" t="str">
        <x:v>Segunda a sexta: entrada por volta de 13h; intervalo de cerca de 1 hora; saída habitual por volta de 21h20</x:v>
      </x:c>
      <x:c r="H19" s="39" t="n">
        <x:v>0.8715277777777778</x:v>
      </x:c>
      <x:c r="I19" s="39" t="n">
        <x:v>0.8791666666666667</x:v>
      </x:c>
      <x:c r="J19" s="40" t="n">
        <x:v>0</x:v>
      </x:c>
      <x:c r="K19" s="22" t="str">
        <x:v>Conferência alinhada à planilha-base</x:v>
      </x:c>
      <x:c r="L19" s="22" t="str">
        <x:v>Data e horários de conferência/saída conferidos com a aba “CONFERÊNCIA DE CAIXA” da planilha-base: conferência 20:55–21:06; saída 21:09. Horários de entrada e intervalo permanecem como dados ilustrativos desta simulação.</x:v>
      </x:c>
    </x:row>
    <x:row r="20" ht="55" customHeight="1">
      <x:c r="A20" s="41" t="n">
        <x:v>45843</x:v>
      </x:c>
      <x:c r="B20" s="25" t="str">
        <x:v>sábado</x:v>
      </x:c>
      <x:c r="C20" s="42" t="n">
        <x:v>0.5416666666666666</x:v>
      </x:c>
      <x:c r="D20" s="42"/>
      <x:c r="E20" s="42"/>
      <x:c r="F20" s="42" t="n">
        <x:v>0.7104166666666667</x:v>
      </x:c>
      <x:c r="G20" s="27" t="str">
        <x:v>Sábado: entrada por volta de 13h; saída habitual próxima das 17h; sem intervalo</x:v>
      </x:c>
      <x:c r="H20" s="42" t="n">
        <x:v>0.7027777777777777</x:v>
      </x:c>
      <x:c r="I20" s="42" t="n">
        <x:v>0.7083333333333334</x:v>
      </x:c>
      <x:c r="J20" s="43" t="n">
        <x:v>0.0020833333333333333</x:v>
      </x:c>
      <x:c r="K20" s="27" t="str">
        <x:v>Sábado; encerramento próximo ao horário habitual</x:v>
      </x:c>
      <x:c r="L20" s="27" t="str">
        <x:v>Data conferida com a aba “CONFERÊNCIA DE CAIXA” da planilha-base: conferência 16:52–17:00 e saída 17:03. Sábado normalmente sem intervalo; conferir a jornada efetiva se houver divergência com registros reais.</x:v>
      </x:c>
    </x:row>
    <x:row r="21" ht="55" customHeight="1">
      <x:c r="A21" s="41" t="n">
        <x:v>45857</x:v>
      </x:c>
      <x:c r="B21" s="25" t="str">
        <x:v>sábado</x:v>
      </x:c>
      <x:c r="C21" s="42" t="n">
        <x:v>0.5423611111111111</x:v>
      </x:c>
      <x:c r="D21" s="42"/>
      <x:c r="E21" s="42"/>
      <x:c r="F21" s="42" t="n">
        <x:v>0.7083333333333334</x:v>
      </x:c>
      <x:c r="G21" s="27" t="str">
        <x:v>Sábado: entrada por volta de 13h; saída habitual próxima das 17h; sem intervalo</x:v>
      </x:c>
      <x:c r="H21" s="42" t="n">
        <x:v>0.7</x:v>
      </x:c>
      <x:c r="I21" s="42" t="n">
        <x:v>0.7069444444444445</x:v>
      </x:c>
      <x:c r="J21" s="43" t="n">
        <x:v>0</x:v>
      </x:c>
      <x:c r="K21" s="27" t="str">
        <x:v>Sábado; encerramento próximo ao horário habitual</x:v>
      </x:c>
      <x:c r="L21" s="27" t="str">
        <x:v>Data conferida com a aba “CONFERÊNCIA DE CAIXA” da planilha-base: conferência 16:48–16:58 e saída 17:00. Sábado normalmente sem intervalo; conferir a jornada efetiva se houver divergência com registros reais.</x:v>
      </x:c>
    </x:row>
    <x:row r="22" ht="55" customHeight="1">
      <x:c r="A22" s="44" t="n">
        <x:v>45868</x:v>
      </x:c>
      <x:c r="B22" s="30" t="str">
        <x:v>quarta-feira</x:v>
      </x:c>
      <x:c r="C22" s="45" t="n">
        <x:v>0.5381944444444444</x:v>
      </x:c>
      <x:c r="D22" s="45" t="n">
        <x:v>0.6701388888888888</x:v>
      </x:c>
      <x:c r="E22" s="45" t="n">
        <x:v>0.7145833333333333</x:v>
      </x:c>
      <x:c r="F22" s="45" t="n">
        <x:v>0.8895833333333333</x:v>
      </x:c>
      <x:c r="G22" s="32" t="str">
        <x:v>Segunda a sexta: entrada por volta de 13h; intervalo de cerca de 1 hora; saída habitual por volta de 21h20</x:v>
      </x:c>
      <x:c r="H22" s="45" t="n">
        <x:v>0.8805555555555555</x:v>
      </x:c>
      <x:c r="I22" s="45" t="n">
        <x:v>0.8881944444444444</x:v>
      </x:c>
      <x:c r="J22" s="46" t="n">
        <x:v>0.0006944444444444445</x:v>
      </x:c>
      <x:c r="K22" s="32" t="str">
        <x:v>Conferência alinhada à planilha-base</x:v>
      </x:c>
      <x:c r="L22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23" ht="55" customHeight="1">
      <x:c r="A23" s="41" t="n">
        <x:v>45885</x:v>
      </x:c>
      <x:c r="B23" s="25" t="str">
        <x:v>sábado</x:v>
      </x:c>
      <x:c r="C23" s="42" t="n">
        <x:v>0.5416666666666666</x:v>
      </x:c>
      <x:c r="D23" s="42"/>
      <x:c r="E23" s="42"/>
      <x:c r="F23" s="42" t="n">
        <x:v>0.7083333333333334</x:v>
      </x:c>
      <x:c r="G23" s="27" t="str">
        <x:v>Sábado: entrada por volta de 13h; saída habitual próxima das 17h; sem intervalo</x:v>
      </x:c>
      <x:c r="H23" s="42" t="n">
        <x:v>0.6993055555555555</x:v>
      </x:c>
      <x:c r="I23" s="42" t="n">
        <x:v>0.7069444444444445</x:v>
      </x:c>
      <x:c r="J23" s="43" t="n">
        <x:v>0</x:v>
      </x:c>
      <x:c r="K23" s="27" t="str">
        <x:v>Sábado; encerramento próximo ao horário habitual</x:v>
      </x:c>
      <x:c r="L23" s="27" t="str">
        <x:v>Data conferida com a aba “CONFERÊNCIA DE CAIXA” da planilha-base: conferência 16:47–16:58 e saída 17:00. Sábado normalmente sem intervalo; conferir a jornada efetiva se houver divergência com registros reais.</x:v>
      </x:c>
    </x:row>
    <x:row r="24" ht="55" customHeight="1">
      <x:c r="A24" s="44" t="n">
        <x:v>45895</x:v>
      </x:c>
      <x:c r="B24" s="30" t="str">
        <x:v>terça-feira</x:v>
      </x:c>
      <x:c r="C24" s="45" t="n">
        <x:v>0.5430555555555555</x:v>
      </x:c>
      <x:c r="D24" s="45" t="n">
        <x:v>0.6666666666666666</x:v>
      </x:c>
      <x:c r="E24" s="45" t="n">
        <x:v>0.7090277777777778</x:v>
      </x:c>
      <x:c r="F24" s="45" t="n">
        <x:v>0.8881944444444444</x:v>
      </x:c>
      <x:c r="G24" s="32" t="str">
        <x:v>Segunda a sexta: entrada por volta de 13h; intervalo de cerca de 1 hora; saída habitual por volta de 21h20</x:v>
      </x:c>
      <x:c r="H24" s="45" t="n">
        <x:v>0.8798611111111111</x:v>
      </x:c>
      <x:c r="I24" s="45" t="n">
        <x:v>0.8861111111111111</x:v>
      </x:c>
      <x:c r="J24" s="46" t="n">
        <x:v>0</x:v>
      </x:c>
      <x:c r="K24" s="32" t="str">
        <x:v>Conferência alinhada à planilha-base</x:v>
      </x:c>
      <x:c r="L24" s="32" t="str">
        <x:v>Data e horários de conferência/saída conferidos com a aba “CONFERÊNCIA DE CAIXA” da planilha-base: conferência 21:07–21:16; saída 21:19. Horários de entrada e intervalo permanecem como dados ilustrativos desta simulação.</x:v>
      </x:c>
    </x:row>
    <x:row r="25" ht="55" customHeight="1">
      <x:c r="A25" s="41" t="n">
        <x:v>45906</x:v>
      </x:c>
      <x:c r="B25" s="25" t="str">
        <x:v>sábado</x:v>
      </x:c>
      <x:c r="C25" s="42" t="n">
        <x:v>0.5416666666666666</x:v>
      </x:c>
      <x:c r="D25" s="42" t="n">
        <x:v>0.65625</x:v>
      </x:c>
      <x:c r="E25" s="42" t="n">
        <x:v>0.6979166666666666</x:v>
      </x:c>
      <x:c r="F25" s="42" t="n">
        <x:v>0.9131944444444444</x:v>
      </x:c>
      <x:c r="G25" s="27" t="str">
        <x:v>Sábado excepcional: entrada por volta de 13h; intervalo de 1h; saída excepcional após 21h</x:v>
      </x:c>
      <x:c r="H25" s="42" t="n">
        <x:v>0.9</x:v>
      </x:c>
      <x:c r="I25" s="42" t="n">
        <x:v>0.9111111111111111</x:v>
      </x:c>
      <x:c r="J25" s="43" t="n">
        <x:v>0.2048611111111111</x:v>
      </x:c>
      <x:c r="K25" s="27" t="str">
        <x:v>Sábado excepcional — encerramento às 21h55</x:v>
      </x:c>
      <x:c r="L25" s="27" t="str">
        <x:v>Data e horários conferidos com a aba “CONFERÊNCIA DE CAIXA” da planilha-base: conferência 21:36–21:52 e saída 21:55. Jornada excepcional simulada; intervalo de 1h (15:45–16:45). Confirmar registros reais antes de qualquer conclusão sobre horas extras.</x:v>
      </x:c>
    </x:row>
    <x:row r="26" ht="55" customHeight="1">
      <x:c r="A26" s="44" t="n">
        <x:v>45917</x:v>
      </x:c>
      <x:c r="B26" s="30" t="str">
        <x:v>quarta-feira</x:v>
      </x:c>
      <x:c r="C26" s="45" t="n">
        <x:v>0.5458333333333333</x:v>
      </x:c>
      <x:c r="D26" s="45" t="n">
        <x:v>0.6736111111111112</x:v>
      </x:c>
      <x:c r="E26" s="45" t="n">
        <x:v>0.7159722222222222</x:v>
      </x:c>
      <x:c r="F26" s="45" t="n">
        <x:v>0.8902777777777777</x:v>
      </x:c>
      <x:c r="G26" s="32" t="str">
        <x:v>Segunda a sexta: entrada por volta de 13h; intervalo de cerca de 1 hora; saída habitual por volta de 21h20</x:v>
      </x:c>
      <x:c r="H26" s="45" t="n">
        <x:v>0.88125</x:v>
      </x:c>
      <x:c r="I26" s="45" t="n">
        <x:v>0.8888888888888888</x:v>
      </x:c>
      <x:c r="J26" s="46" t="n">
        <x:v>0.001388888888888889</x:v>
      </x:c>
      <x:c r="K26" s="32" t="str">
        <x:v>Conferência alinhada à planilha-base</x:v>
      </x:c>
      <x:c r="L26" s="32" t="str">
        <x:v>Data e horários de conferência/saída conferidos com a aba “CONFERÊNCIA DE CAIXA” da planilha-base: conferência 21:09–21:20; saída 21:22. Horários de entrada e intervalo permanecem como dados ilustrativos desta simulação.</x:v>
      </x:c>
    </x:row>
    <x:row r="27" ht="55" customHeight="1">
      <x:c r="A27" s="38" t="n">
        <x:v>46027</x:v>
      </x:c>
      <x:c r="B27" s="20" t="str">
        <x:v>segunda-feira</x:v>
      </x:c>
      <x:c r="C27" s="39" t="n">
        <x:v>0.5388888888888889</x:v>
      </x:c>
      <x:c r="D27" s="39" t="n">
        <x:v>0.6736111111111112</x:v>
      </x:c>
      <x:c r="E27" s="39" t="n">
        <x:v>0.7138888888888889</x:v>
      </x:c>
      <x:c r="F27" s="39" t="n">
        <x:v>0.8902777777777777</x:v>
      </x:c>
      <x:c r="G27" s="22" t="str">
        <x:v>Segunda a sexta: entrada por volta de 13h; intervalo de cerca de 1 hora; saída habitual por volta de 21h20</x:v>
      </x:c>
      <x:c r="H27" s="39" t="n">
        <x:v>0.8798611111111111</x:v>
      </x:c>
      <x:c r="I27" s="39" t="n">
        <x:v>0.8881944444444444</x:v>
      </x:c>
      <x:c r="J27" s="40" t="n">
        <x:v>0.001388888888888889</x:v>
      </x:c>
      <x:c r="K27" s="22" t="str">
        <x:v>Conferência alinhada à planilha-base</x:v>
      </x:c>
      <x:c r="L27" s="22" t="str">
        <x:v>Data e horários de conferência/saída conferidos com a aba “CONFERÊNCIA DE CAIXA” da planilha-base: conferência 21:07–21:19; saída 21:22. Horários de entrada e intervalo permanecem como dados ilustrativos desta simulação.</x:v>
      </x:c>
    </x:row>
    <x:row r="28" ht="55" customHeight="1">
      <x:c r="A28" s="44" t="n">
        <x:v>46029</x:v>
      </x:c>
      <x:c r="B28" s="30" t="str">
        <x:v>quarta-feira</x:v>
      </x:c>
      <x:c r="C28" s="45" t="n">
        <x:v>0.5458333333333333</x:v>
      </x:c>
      <x:c r="D28" s="45" t="n">
        <x:v>0.6805555555555556</x:v>
      </x:c>
      <x:c r="E28" s="45" t="n">
        <x:v>0.7201388888888889</x:v>
      </x:c>
      <x:c r="F28" s="45" t="n">
        <x:v>0.8909722222222223</x:v>
      </x:c>
      <x:c r="G28" s="32" t="str">
        <x:v>Segunda a sexta: entrada por volta de 13h; intervalo de cerca de 1 hora; saída habitual por volta de 21h20</x:v>
      </x:c>
      <x:c r="H28" s="45" t="n">
        <x:v>0.8819444444444444</x:v>
      </x:c>
      <x:c r="I28" s="45" t="n">
        <x:v>0.8888888888888888</x:v>
      </x:c>
      <x:c r="J28" s="46" t="n">
        <x:v>0.0020833333333333333</x:v>
      </x:c>
      <x:c r="K28" s="32" t="str">
        <x:v>Conferência alinhada à planilha-base</x:v>
      </x:c>
      <x:c r="L28" s="32" t="str">
        <x:v>Data e horários de conferência/saída conferidos com a aba “CONFERÊNCIA DE CAIXA” da planilha-base: conferência 21:10–21:20; saída 21:23. Horários de entrada e intervalo permanecem como dados ilustrativos desta simulação.</x:v>
      </x:c>
    </x:row>
    <x:row r="29" ht="55" customHeight="1">
      <x:c r="A29" s="38" t="n">
        <x:v>46042</x:v>
      </x:c>
      <x:c r="B29" s="20" t="str">
        <x:v>terça-feira</x:v>
      </x:c>
      <x:c r="C29" s="39" t="n">
        <x:v>0.5444444444444444</x:v>
      </x:c>
      <x:c r="D29" s="39" t="n">
        <x:v>0.6979166666666666</x:v>
      </x:c>
      <x:c r="E29" s="39" t="n">
        <x:v>0.7430555555555556</x:v>
      </x:c>
      <x:c r="F29" s="39" t="n">
        <x:v>0.8888888888888888</x:v>
      </x:c>
      <x:c r="G29" s="22" t="str">
        <x:v>Segunda a sexta: entrada por volta de 13h; intervalo de cerca de 1 hora; saída habitual por volta de 21h20</x:v>
      </x:c>
      <x:c r="H29" s="39" t="n">
        <x:v>0.8784722222222222</x:v>
      </x:c>
      <x:c r="I29" s="39" t="n">
        <x:v>0.8868055555555555</x:v>
      </x:c>
      <x:c r="J29" s="40" t="n">
        <x:v>0</x:v>
      </x:c>
      <x:c r="K29" s="22" t="str">
        <x:v>Conferência alinhada à planilha-base</x:v>
      </x:c>
      <x:c r="L29" s="22" t="str">
        <x:v>Data e horários de conferência/saída conferidos com a aba “CONFERÊNCIA DE CAIXA” da planilha-base: conferência 21:05–21:17; saída 21:20. Horários de entrada e intervalo permanecem como dados ilustrativos desta simulação.</x:v>
      </x:c>
    </x:row>
    <x:row r="30" ht="55" customHeight="1">
      <x:c r="A30" s="41" t="n">
        <x:v>46053</x:v>
      </x:c>
      <x:c r="B30" s="25" t="str">
        <x:v>sábado</x:v>
      </x:c>
      <x:c r="C30" s="42" t="n">
        <x:v>0.54375</x:v>
      </x:c>
      <x:c r="D30" s="42"/>
      <x:c r="E30" s="42"/>
      <x:c r="F30" s="42" t="n">
        <x:v>0.7097222222222223</x:v>
      </x:c>
      <x:c r="G30" s="27" t="str">
        <x:v>Sábado: entrada por volta de 13h; saída habitual próxima das 17h; sem intervalo</x:v>
      </x:c>
      <x:c r="H30" s="42" t="n">
        <x:v>0.7</x:v>
      </x:c>
      <x:c r="I30" s="42" t="n">
        <x:v>0.7069444444444445</x:v>
      </x:c>
      <x:c r="J30" s="43" t="n">
        <x:v>0.001388888888888889</x:v>
      </x:c>
      <x:c r="K30" s="27" t="str">
        <x:v>Sábado; encerramento próximo ao horário habitual</x:v>
      </x:c>
      <x:c r="L30" s="27" t="str">
        <x:v>Data conferida com a aba “CONFERÊNCIA DE CAIXA” da planilha-base: conferência 16:48–16:58 e saída 17:02. Sábado normalmente sem intervalo; conferir a jornada efetiva se houver divergência com registros reais.</x:v>
      </x:c>
    </x:row>
    <x:row r="31" ht="55" customHeight="1">
      <x:c r="A31" s="38" t="n">
        <x:v>46062</x:v>
      </x:c>
      <x:c r="B31" s="20" t="str">
        <x:v>segunda-feira</x:v>
      </x:c>
      <x:c r="C31" s="39" t="n">
        <x:v>0.5395833333333333</x:v>
      </x:c>
      <x:c r="D31" s="39" t="n">
        <x:v>0.6909722222222222</x:v>
      </x:c>
      <x:c r="E31" s="39" t="n">
        <x:v>0.7354166666666667</x:v>
      </x:c>
      <x:c r="F31" s="39" t="n">
        <x:v>0.8895833333333333</x:v>
      </x:c>
      <x:c r="G31" s="22" t="str">
        <x:v>Segunda a sexta: entrada por volta de 13h; intervalo de cerca de 1 hora; saída habitual por volta de 21h20</x:v>
      </x:c>
      <x:c r="H31" s="39" t="n">
        <x:v>0.8805555555555555</x:v>
      </x:c>
      <x:c r="I31" s="39" t="n">
        <x:v>0.8868055555555555</x:v>
      </x:c>
      <x:c r="J31" s="40" t="n">
        <x:v>0.0006944444444444445</x:v>
      </x:c>
      <x:c r="K31" s="22" t="str">
        <x:v>Conferência alinhada à planilha-base</x:v>
      </x:c>
      <x:c r="L31" s="22" t="str">
        <x:v>Data e horários de conferência/saída conferidos com a aba “CONFERÊNCIA DE CAIXA” da planilha-base: conferência 21:08–21:17; saída 21:21. Horários de entrada e intervalo permanecem como dados ilustrativos desta simulação.</x:v>
      </x:c>
    </x:row>
    <x:row r="32" ht="55" customHeight="1">
      <x:c r="A32" s="41" t="n">
        <x:v>46067</x:v>
      </x:c>
      <x:c r="B32" s="25" t="str">
        <x:v>sábado</x:v>
      </x:c>
      <x:c r="C32" s="42" t="n">
        <x:v>0.54375</x:v>
      </x:c>
      <x:c r="D32" s="42"/>
      <x:c r="E32" s="42"/>
      <x:c r="F32" s="42" t="n">
        <x:v>0.7048611111111112</x:v>
      </x:c>
      <x:c r="G32" s="27" t="str">
        <x:v>Sábado: entrada por volta de 13h; saída habitual próxima das 17h; sem intervalo</x:v>
      </x:c>
      <x:c r="H32" s="42" t="n">
        <x:v>0.6972222222222222</x:v>
      </x:c>
      <x:c r="I32" s="42" t="n">
        <x:v>0.7020833333333333</x:v>
      </x:c>
      <x:c r="J32" s="43" t="n">
        <x:v>0</x:v>
      </x:c>
      <x:c r="K32" s="27" t="str">
        <x:v>Sábado; encerramento próximo ao horário habitual</x:v>
      </x:c>
      <x:c r="L32" s="27" t="str">
        <x:v>Data conferida com a aba “CONFERÊNCIA DE CAIXA” da planilha-base: conferência 16:44–16:51 e saída 16:55. Sábado normalmente sem intervalo; conferir a jornada efetiva se houver divergência com registros reais.</x:v>
      </x:c>
    </x:row>
    <x:row r="33" ht="55" customHeight="1">
      <x:c r="A33" s="38" t="n">
        <x:v>46107</x:v>
      </x:c>
      <x:c r="B33" s="20" t="str">
        <x:v>quinta-feira</x:v>
      </x:c>
      <x:c r="C33" s="39" t="n">
        <x:v>0.5395833333333333</x:v>
      </x:c>
      <x:c r="D33" s="39" t="n">
        <x:v>0.6770833333333334</x:v>
      </x:c>
      <x:c r="E33" s="39" t="n">
        <x:v>0.7194444444444444</x:v>
      </x:c>
      <x:c r="F33" s="39" t="n">
        <x:v>0.8881944444444444</x:v>
      </x:c>
      <x:c r="G33" s="22" t="str">
        <x:v>Segunda a sexta: entrada por volta de 13h; intervalo de cerca de 1 hora; saída habitual por volta de 21h20</x:v>
      </x:c>
      <x:c r="H33" s="39" t="n">
        <x:v>0.8798611111111111</x:v>
      </x:c>
      <x:c r="I33" s="39" t="n">
        <x:v>0.8868055555555555</x:v>
      </x:c>
      <x:c r="J33" s="40" t="n">
        <x:v>0</x:v>
      </x:c>
      <x:c r="K33" s="22" t="str">
        <x:v>Conferência alinhada à planilha-base</x:v>
      </x:c>
      <x:c r="L33" s="22" t="str">
        <x:v>Data e horários de conferência/saída conferidos com a aba “CONFERÊNCIA DE CAIXA” da planilha-base: conferência 21:07–21:17; saída 21:19. Horários de entrada e intervalo permanecem como dados ilustrativos desta simulação.</x:v>
      </x:c>
    </x:row>
    <x:row r="34" ht="55" customHeight="1">
      <x:c r="A34" s="44" t="n">
        <x:v>46118</x:v>
      </x:c>
      <x:c r="B34" s="30" t="str">
        <x:v>segunda-feira</x:v>
      </x:c>
      <x:c r="C34" s="45" t="n">
        <x:v>0.5381944444444444</x:v>
      </x:c>
      <x:c r="D34" s="45" t="n">
        <x:v>0.6770833333333334</x:v>
      </x:c>
      <x:c r="E34" s="45" t="n">
        <x:v>0.7152777777777778</x:v>
      </x:c>
      <x:c r="F34" s="45" t="n">
        <x:v>0.8875</x:v>
      </x:c>
      <x:c r="G34" s="32" t="str">
        <x:v>Segunda a sexta: entrada por volta de 13h; intervalo de cerca de 1 hora; saída habitual por volta de 21h20</x:v>
      </x:c>
      <x:c r="H34" s="45" t="n">
        <x:v>0.875</x:v>
      </x:c>
      <x:c r="I34" s="45" t="n">
        <x:v>0.8847222222222222</x:v>
      </x:c>
      <x:c r="J34" s="46" t="n">
        <x:v>0</x:v>
      </x:c>
      <x:c r="K34" s="32" t="str">
        <x:v>Conferência alinhada à planilha-base</x:v>
      </x:c>
      <x:c r="L34" s="32" t="str">
        <x:v>Data e horários de conferência/saída conferidos com a aba “CONFERÊNCIA DE CAIXA” da planilha-base: conferência 21:00–21:14; saída 21:18. Horários de entrada e intervalo permanecem como dados ilustrativos desta simulação.</x:v>
      </x:c>
    </x:row>
    <x:row r="35" ht="55" customHeight="1">
      <x:c r="A35" s="38" t="n">
        <x:v>46128</x:v>
      </x:c>
      <x:c r="B35" s="20" t="str">
        <x:v>quinta-feira</x:v>
      </x:c>
      <x:c r="C35" s="39" t="n">
        <x:v>0.5388888888888889</x:v>
      </x:c>
      <x:c r="D35" s="39" t="n">
        <x:v>0.6770833333333334</x:v>
      </x:c>
      <x:c r="E35" s="39" t="n">
        <x:v>0.7215277777777778</x:v>
      </x:c>
      <x:c r="F35" s="39" t="n">
        <x:v>0.8881944444444444</x:v>
      </x:c>
      <x:c r="G35" s="22" t="str">
        <x:v>Segunda a sexta: entrada por volta de 13h; intervalo de cerca de 1 hora; saída habitual por volta de 21h20</x:v>
      </x:c>
      <x:c r="H35" s="39" t="n">
        <x:v>0.8805555555555555</x:v>
      </x:c>
      <x:c r="I35" s="39" t="n">
        <x:v>0.8868055555555555</x:v>
      </x:c>
      <x:c r="J35" s="40" t="n">
        <x:v>0</x:v>
      </x:c>
      <x:c r="K35" s="22" t="str">
        <x:v>Conferência alinhada à planilha-base</x:v>
      </x:c>
      <x:c r="L35" s="22" t="str">
        <x:v>Data e horários de conferência/saída conferidos com a aba “CONFERÊNCIA DE CAIXA” da planilha-base: conferência 21:08–21:17; saída 21:19. Horários de entrada e intervalo permanecem como dados ilustrativos desta simulação.</x:v>
      </x:c>
    </x:row>
    <x:row r="36" ht="55" customHeight="1">
      <x:c r="A36" s="44" t="n">
        <x:v>46140</x:v>
      </x:c>
      <x:c r="B36" s="30" t="str">
        <x:v>terça-feira</x:v>
      </x:c>
      <x:c r="C36" s="45" t="n">
        <x:v>0.5444444444444444</x:v>
      </x:c>
      <x:c r="D36" s="45" t="n">
        <x:v>0.6666666666666666</x:v>
      </x:c>
      <x:c r="E36" s="45" t="n">
        <x:v>0.7076388888888889</x:v>
      </x:c>
      <x:c r="F36" s="45" t="n">
        <x:v>0.8861111111111111</x:v>
      </x:c>
      <x:c r="G36" s="32" t="str">
        <x:v>Segunda a sexta: entrada por volta de 13h; intervalo de cerca de 1 hora; saída habitual por volta de 21h20</x:v>
      </x:c>
      <x:c r="H36" s="45" t="n">
        <x:v>0.8756944444444444</x:v>
      </x:c>
      <x:c r="I36" s="45" t="n">
        <x:v>0.8847222222222222</x:v>
      </x:c>
      <x:c r="J36" s="46" t="n">
        <x:v>0</x:v>
      </x:c>
      <x:c r="K36" s="32" t="str">
        <x:v>Conferência alinhada à planilha-base</x:v>
      </x:c>
      <x:c r="L36" s="32" t="str">
        <x:v>Data e horários de conferência/saída conferidos com a aba “CONFERÊNCIA DE CAIXA” da planilha-base: conferência 21:01–21:14; saída 21:16. Horários de entrada e intervalo permanecem como dados ilustrativos desta simulação.</x:v>
      </x:c>
    </x:row>
    <x:row r="37" ht="55" customHeight="1">
      <x:c r="A37" s="41" t="n">
        <x:v>46151</x:v>
      </x:c>
      <x:c r="B37" s="25" t="str">
        <x:v>sábado</x:v>
      </x:c>
      <x:c r="C37" s="42" t="n">
        <x:v>0.5423611111111111</x:v>
      </x:c>
      <x:c r="D37" s="42" t="n">
        <x:v>0.6666666666666666</x:v>
      </x:c>
      <x:c r="E37" s="42" t="n">
        <x:v>0.7083333333333334</x:v>
      </x:c>
      <x:c r="F37" s="42" t="n">
        <x:v>0.9166666666666666</x:v>
      </x:c>
      <x:c r="G37" s="27" t="str">
        <x:v>Sábado excepcional: entrada por volta de 13h; intervalo de 1h; saída excepcional após 21h</x:v>
      </x:c>
      <x:c r="H37" s="42" t="n">
        <x:v>0.9069444444444444</x:v>
      </x:c>
      <x:c r="I37" s="42" t="n">
        <x:v>0.9152777777777777</x:v>
      </x:c>
      <x:c r="J37" s="43" t="n">
        <x:v>0.20833333333333334</x:v>
      </x:c>
      <x:c r="K37" s="27" t="str">
        <x:v>Sábado excepcional — encerramento às 22h00</x:v>
      </x:c>
      <x:c r="L37" s="27" t="str">
        <x:v>Data e horários conferidos com a aba “CONFERÊNCIA DE CAIXA” da planilha-base: conferência 21:46–21:58 e saída 22:00. Jornada excepcional simulada; intervalo de 1h (16:00–17:00). Confirmar registros reais antes de qualquer conclusão sobre horas extras.</x:v>
      </x:c>
    </x:row>
    <x:row r="38" ht="55" customHeight="1">
      <x:c r="A38" s="44" t="n">
        <x:v>46163</x:v>
      </x:c>
      <x:c r="B38" s="30" t="str">
        <x:v>quinta-feira</x:v>
      </x:c>
      <x:c r="C38" s="45" t="n">
        <x:v>0.54375</x:v>
      </x:c>
      <x:c r="D38" s="45" t="n">
        <x:v>0.6736111111111112</x:v>
      </x:c>
      <x:c r="E38" s="45" t="n">
        <x:v>0.7173611111111111</x:v>
      </x:c>
      <x:c r="F38" s="45" t="n">
        <x:v>0.8875</x:v>
      </x:c>
      <x:c r="G38" s="32" t="str">
        <x:v>Segunda a sexta: entrada por volta de 13h; intervalo de cerca de 1 hora; saída habitual por volta de 21h20</x:v>
      </x:c>
      <x:c r="H38" s="45" t="n">
        <x:v>0.8784722222222222</x:v>
      </x:c>
      <x:c r="I38" s="45" t="n">
        <x:v>0.8847222222222222</x:v>
      </x:c>
      <x:c r="J38" s="46" t="n">
        <x:v>0</x:v>
      </x:c>
      <x:c r="K38" s="32" t="str">
        <x:v>Conferência alinhada à planilha-base</x:v>
      </x:c>
      <x:c r="L38" s="32" t="str">
        <x:v>Data e horários de conferência/saída conferidos com a aba “CONFERÊNCIA DE CAIXA” da planilha-base: conferência 21:05–21:14; saída 21:18. Horários de entrada e intervalo permanecem como dados ilustrativos desta simulação.</x:v>
      </x:c>
    </x:row>
    <x:row r="39" ht="55" customHeight="1">
      <x:c r="A39" s="41" t="n">
        <x:v>46172</x:v>
      </x:c>
      <x:c r="B39" s="25" t="str">
        <x:v>sábado</x:v>
      </x:c>
      <x:c r="C39" s="42" t="n">
        <x:v>0.5430555555555555</x:v>
      </x:c>
      <x:c r="D39" s="42"/>
      <x:c r="E39" s="42"/>
      <x:c r="F39" s="42" t="n">
        <x:v>0.7027777777777777</x:v>
      </x:c>
      <x:c r="G39" s="27" t="str">
        <x:v>Sábado: entrada por volta de 13h; saída habitual próxima das 17h; sem intervalo</x:v>
      </x:c>
      <x:c r="H39" s="42" t="n">
        <x:v>0.6923611111111111</x:v>
      </x:c>
      <x:c r="I39" s="42" t="n">
        <x:v>0.7</x:v>
      </x:c>
      <x:c r="J39" s="43" t="n">
        <x:v>0</x:v>
      </x:c>
      <x:c r="K39" s="27" t="str">
        <x:v>Sábado; encerramento próximo ao horário habitual</x:v>
      </x:c>
      <x:c r="L39" s="27" t="str">
        <x:v>Data conferida com a aba “CONFERÊNCIA DE CAIXA” da planilha-base: conferência 16:37–16:48 e saída 16:52. Sábado normalmente sem intervalo; conferir a jornada efetiva se houver divergência com registros reais.</x:v>
      </x:c>
    </x:row>
    <x:row r="40" ht="55" customHeight="1">
      <x:c r="A40" s="44" t="n">
        <x:v>46182</x:v>
      </x:c>
      <x:c r="B40" s="30" t="str">
        <x:v>terça-feira</x:v>
      </x:c>
      <x:c r="C40" s="45" t="n">
        <x:v>0.5444444444444444</x:v>
      </x:c>
      <x:c r="D40" s="45" t="n">
        <x:v>0.6840277777777778</x:v>
      </x:c>
      <x:c r="E40" s="45" t="n">
        <x:v>0.7222222222222222</x:v>
      </x:c>
      <x:c r="F40" s="45" t="n">
        <x:v>0.8909722222222223</x:v>
      </x:c>
      <x:c r="G40" s="32" t="str">
        <x:v>Segunda a sexta: entrada por volta de 13h; intervalo de cerca de 1 hora; saída habitual por volta de 21h20</x:v>
      </x:c>
      <x:c r="H40" s="45" t="n">
        <x:v>0.8798611111111111</x:v>
      </x:c>
      <x:c r="I40" s="45" t="n">
        <x:v>0.8888888888888888</x:v>
      </x:c>
      <x:c r="J40" s="46" t="n">
        <x:v>0.0020833333333333333</x:v>
      </x:c>
      <x:c r="K40" s="32" t="str">
        <x:v>Conferência alinhada à planilha-base</x:v>
      </x:c>
      <x:c r="L40" s="32" t="str">
        <x:v>Data e horários de conferência/saída conferidos com a aba “CONFERÊNCIA DE CAIXA” da planilha-base: conferência 21:07–21:20; saída 21:23. Horários de entrada e intervalo permanecem como dados ilustrativos desta simulação.</x:v>
      </x:c>
    </x:row>
    <x:row r="41" ht="55" customHeight="1">
      <x:c r="A41" s="38" t="n">
        <x:v>46191</x:v>
      </x:c>
      <x:c r="B41" s="20" t="str">
        <x:v>quinta-feira</x:v>
      </x:c>
      <x:c r="C41" s="39" t="n">
        <x:v>0.54375</x:v>
      </x:c>
      <x:c r="D41" s="39" t="n">
        <x:v>0.6909722222222222</x:v>
      </x:c>
      <x:c r="E41" s="39" t="n">
        <x:v>0.7354166666666667</x:v>
      </x:c>
      <x:c r="F41" s="39" t="n">
        <x:v>0.8888888888888888</x:v>
      </x:c>
      <x:c r="G41" s="22" t="str">
        <x:v>Segunda a sexta: entrada por volta de 13h; intervalo de cerca de 1 hora; saída habitual por volta de 21h20</x:v>
      </x:c>
      <x:c r="H41" s="39" t="n">
        <x:v>0.8798611111111111</x:v>
      </x:c>
      <x:c r="I41" s="39" t="n">
        <x:v>0.8861111111111111</x:v>
      </x:c>
      <x:c r="J41" s="40" t="n">
        <x:v>0</x:v>
      </x:c>
      <x:c r="K41" s="22" t="str">
        <x:v>Conferência alinhada à planilha-base</x:v>
      </x:c>
      <x:c r="L41" s="22" t="str">
        <x:v>Data e horários de conferência/saída conferidos com a aba “CONFERÊNCIA DE CAIXA” da planilha-base: conferência 21:07–21:16; saída 21:20. Horários de entrada e intervalo permanecem como dados ilustrativos desta simulação.</x:v>
      </x:c>
    </x:row>
    <x:row r="42" ht="55" customHeight="1">
      <x:c r="A42" s="44" t="n">
        <x:v>46213</x:v>
      </x:c>
      <x:c r="B42" s="30" t="str">
        <x:v>sexta-feira</x:v>
      </x:c>
      <x:c r="C42" s="45" t="n">
        <x:v>0.5423611111111111</x:v>
      </x:c>
      <x:c r="D42" s="45" t="n">
        <x:v>0.6770833333333334</x:v>
      </x:c>
      <x:c r="E42" s="45" t="n">
        <x:v>0.7215277777777778</x:v>
      </x:c>
      <x:c r="F42" s="45" t="n">
        <x:v>0.8895833333333333</x:v>
      </x:c>
      <x:c r="G42" s="32" t="str">
        <x:v>Segunda a sexta: entrada por volta de 13h; intervalo de cerca de 1 hora; saída habitual por volta de 21h20</x:v>
      </x:c>
      <x:c r="H42" s="45" t="n">
        <x:v>0.8784722222222222</x:v>
      </x:c>
      <x:c r="I42" s="45" t="n">
        <x:v>0.8875</x:v>
      </x:c>
      <x:c r="J42" s="46" t="n">
        <x:v>0.0006944444444444445</x:v>
      </x:c>
      <x:c r="K42" s="32" t="str">
        <x:v>Conferência alinhada à planilha-base</x:v>
      </x:c>
      <x:c r="L42" s="32" t="str">
        <x:v>Data e horários de conferência/saída conferidos com a aba “CONFERÊNCIA DE CAIXA” da planilha-base: conferência 21:05–21:18; saída 21:21. Horários de entrada e intervalo permanecem como dados ilustrativos desta simulação.</x:v>
      </x:c>
    </x:row>
    <x:row r="43" ht="55" customHeight="1">
      <x:c r="A43" s="38" t="n">
        <x:v>46218</x:v>
      </x:c>
      <x:c r="B43" s="20" t="str">
        <x:v>quarta-feira</x:v>
      </x:c>
      <x:c r="C43" s="39" t="n">
        <x:v>0.5409722222222222</x:v>
      </x:c>
      <x:c r="D43" s="39" t="n">
        <x:v>0.6944444444444444</x:v>
      </x:c>
      <x:c r="E43" s="39" t="n">
        <x:v>0.7347222222222223</x:v>
      </x:c>
      <x:c r="F43" s="39" t="n">
        <x:v>0.8888888888888888</x:v>
      </x:c>
      <x:c r="G43" s="22" t="str">
        <x:v>Segunda a sexta: entrada por volta de 13h; intervalo de cerca de 1 hora; saída habitual por volta de 21h20</x:v>
      </x:c>
      <x:c r="H43" s="39" t="n">
        <x:v>0.8791666666666667</x:v>
      </x:c>
      <x:c r="I43" s="39" t="n">
        <x:v>0.8868055555555555</x:v>
      </x:c>
      <x:c r="J43" s="40" t="n">
        <x:v>0</x:v>
      </x:c>
      <x:c r="K43" s="22" t="str">
        <x:v>Conferência alinhada à planilha-base</x:v>
      </x:c>
      <x:c r="L43" s="22" t="str">
        <x:v>Data e horários de conferência/saída conferidos com a aba “CONFERÊNCIA DE CAIXA” da planilha-base: conferência 21:06–21:17; saída 21:20. Horários de entrada e intervalo permanecem como dados ilustrativos desta simulação.</x:v>
      </x:c>
    </x:row>
    <x:row r="44" ht="55" customHeight="1">
      <x:c r="A44" s="44" t="n">
        <x:v>46233</x:v>
      </x:c>
      <x:c r="B44" s="30" t="str">
        <x:v>quinta-feira</x:v>
      </x:c>
      <x:c r="C44" s="45" t="n">
        <x:v>0.5381944444444444</x:v>
      </x:c>
      <x:c r="D44" s="45" t="n">
        <x:v>0.6805555555555556</x:v>
      </x:c>
      <x:c r="E44" s="45" t="n">
        <x:v>0.7236111111111111</x:v>
      </x:c>
      <x:c r="F44" s="45" t="n">
        <x:v>0.8888888888888888</x:v>
      </x:c>
      <x:c r="G44" s="32" t="str">
        <x:v>Segunda a sexta: entrada por volta de 13h; intervalo de cerca de 1 hora; saída habitual por volta de 21h20</x:v>
      </x:c>
      <x:c r="H44" s="45" t="n">
        <x:v>0.8791666666666667</x:v>
      </x:c>
      <x:c r="I44" s="45" t="n">
        <x:v>0.8861111111111111</x:v>
      </x:c>
      <x:c r="J44" s="46" t="n">
        <x:v>0</x:v>
      </x:c>
      <x:c r="K44" s="32" t="str">
        <x:v>Conferência alinhada à planilha-base</x:v>
      </x:c>
      <x:c r="L44" s="32" t="str">
        <x:v>Data e horários de conferência/saída conferidos com a aba “CONFERÊNCIA DE CAIXA” da planilha-base: conferência 21:06–21:16; saída 21:20. Horários de entrada e intervalo permanecem como dados ilustrativos desta simulação.</x:v>
      </x:c>
    </x:row>
    <x:row r="45" ht="55" customHeight="1">
      <x:c r="A45" s="41" t="n">
        <x:v>46249</x:v>
      </x:c>
      <x:c r="B45" s="25" t="str">
        <x:v>sábado</x:v>
      </x:c>
      <x:c r="C45" s="42" t="n">
        <x:v>0.5409722222222222</x:v>
      </x:c>
      <x:c r="D45" s="42"/>
      <x:c r="E45" s="42"/>
      <x:c r="F45" s="42" t="n">
        <x:v>0.7055555555555556</x:v>
      </x:c>
      <x:c r="G45" s="27" t="str">
        <x:v>Sábado: entrada por volta de 13h; saída habitual próxima das 17h; sem intervalo</x:v>
      </x:c>
      <x:c r="H45" s="42" t="n">
        <x:v>0.6958333333333333</x:v>
      </x:c>
      <x:c r="I45" s="42" t="n">
        <x:v>0.7041666666666667</x:v>
      </x:c>
      <x:c r="J45" s="43" t="n">
        <x:v>0</x:v>
      </x:c>
      <x:c r="K45" s="27" t="str">
        <x:v>Sábado; encerramento próximo ao horário habitual</x:v>
      </x:c>
      <x:c r="L45" s="27" t="str">
        <x:v>Data conferida com a aba “CONFERÊNCIA DE CAIXA” da planilha-base: conferência 16:42–16:54 e saída 16:56. Sábado normalmente sem intervalo; conferir a jornada efetiva se houver divergência com registros reais.</x:v>
      </x:c>
    </x:row>
    <x:row r="46" ht="55" customHeight="1">
      <x:c r="A46" s="44" t="n">
        <x:v>46251</x:v>
      </x:c>
      <x:c r="B46" s="30" t="str">
        <x:v>segunda-feira</x:v>
      </x:c>
      <x:c r="C46" s="45" t="n">
        <x:v>0.54375</x:v>
      </x:c>
      <x:c r="D46" s="45" t="n">
        <x:v>0.6840277777777778</x:v>
      </x:c>
      <x:c r="E46" s="45" t="n">
        <x:v>0.7243055555555555</x:v>
      </x:c>
      <x:c r="F46" s="45" t="n">
        <x:v>0.8888888888888888</x:v>
      </x:c>
      <x:c r="G46" s="32" t="str">
        <x:v>Segunda a sexta: entrada por volta de 13h; intervalo de cerca de 1 hora; saída habitual por volta de 21h20</x:v>
      </x:c>
      <x:c r="H46" s="45" t="n">
        <x:v>0.8770833333333333</x:v>
      </x:c>
      <x:c r="I46" s="45" t="n">
        <x:v>0.8861111111111111</x:v>
      </x:c>
      <x:c r="J46" s="46" t="n">
        <x:v>0</x:v>
      </x:c>
      <x:c r="K46" s="32" t="str">
        <x:v>Conferência alinhada à planilha-base</x:v>
      </x:c>
      <x:c r="L46" s="32" t="str">
        <x:v>Data e horários de conferência/saída conferidos com a aba “CONFERÊNCIA DE CAIXA” da planilha-base: conferência 21:03–21:16; saída 21:20. Horários de entrada e intervalo permanecem como dados ilustrativos desta simulação.</x:v>
      </x:c>
    </x:row>
    <x:row r="47" ht="55" customHeight="1">
      <x:c r="A47" s="38" t="n">
        <x:v>46255</x:v>
      </x:c>
      <x:c r="B47" s="20" t="str">
        <x:v>sexta-feira</x:v>
      </x:c>
      <x:c r="C47" s="39" t="n">
        <x:v>0.54375</x:v>
      </x:c>
      <x:c r="D47" s="39" t="n">
        <x:v>0.6909722222222222</x:v>
      </x:c>
      <x:c r="E47" s="39" t="n">
        <x:v>0.7361111111111112</x:v>
      </x:c>
      <x:c r="F47" s="39" t="n">
        <x:v>0.8888888888888888</x:v>
      </x:c>
      <x:c r="G47" s="22" t="str">
        <x:v>Segunda a sexta: entrada por volta de 13h; intervalo de cerca de 1 hora; saída habitual por volta de 21h20</x:v>
      </x:c>
      <x:c r="H47" s="39" t="n">
        <x:v>0.8784722222222222</x:v>
      </x:c>
      <x:c r="I47" s="39" t="n">
        <x:v>0.8861111111111111</x:v>
      </x:c>
      <x:c r="J47" s="40" t="n">
        <x:v>0</x:v>
      </x:c>
      <x:c r="K47" s="22" t="str">
        <x:v>Conferência alinhada à planilha-base</x:v>
      </x:c>
      <x:c r="L47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48" ht="55" customHeight="1">
      <x:c r="A48" s="41" t="n">
        <x:v>46263</x:v>
      </x:c>
      <x:c r="B48" s="25" t="str">
        <x:v>sábado</x:v>
      </x:c>
      <x:c r="C48" s="42" t="n">
        <x:v>0.5451388888888888</x:v>
      </x:c>
      <x:c r="D48" s="42" t="n">
        <x:v>0.6736111111111112</x:v>
      </x:c>
      <x:c r="E48" s="42" t="n">
        <x:v>0.7152777777777778</x:v>
      </x:c>
      <x:c r="F48" s="42" t="n">
        <x:v>0.9166666666666666</x:v>
      </x:c>
      <x:c r="G48" s="27" t="str">
        <x:v>Sábado excepcional: entrada por volta de 13h; intervalo de 1h; saída excepcional após 21h</x:v>
      </x:c>
      <x:c r="H48" s="42" t="n">
        <x:v>0.9055555555555556</x:v>
      </x:c>
      <x:c r="I48" s="42" t="n">
        <x:v>0.9138888888888889</x:v>
      </x:c>
      <x:c r="J48" s="43" t="n">
        <x:v>0.20833333333333334</x:v>
      </x:c>
      <x:c r="K48" s="27" t="str">
        <x:v>Sábado excepcional — encerramento às 22h00</x:v>
      </x:c>
      <x:c r="L48" s="27" t="str">
        <x:v>Data e horários conferidos com a aba “CONFERÊNCIA DE CAIXA” da planilha-base: conferência 21:44–21:56 e saída 22:00. Jornada excepcional simulada; intervalo de 1h (16:10–17:10). Confirmar registros reais antes de qualquer conclusão sobre horas extras.</x:v>
      </x:c>
    </x:row>
    <x:row r="49">
      <x:c r="A49" s="83"/>
      <x:c r="B49"/>
      <x:c r="C49" s="85"/>
      <x:c r="D49" s="85"/>
      <x:c r="E49" s="85"/>
      <x:c r="F49" s="85"/>
      <x:c r="G49"/>
      <x:c r="H49" s="85"/>
      <x:c r="I49" s="85"/>
      <x:c r="J49" s="85"/>
      <x:c r="K49"/>
      <x:c r="L49"/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a938c637b8a54277"/>
  </x:tableParts>
</x:worksheet>
</file>

<file path=xl/worksheets/sheet2.xml><?xml version="1.0" encoding="utf-8"?>
<x:worksheet xmlns:x="http://schemas.openxmlformats.org/spreadsheetml/2006/main">
  <x:sheetPr>
    <x:tabColor rgb="FFEDC948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26" customWidth="1"/>
    <x:col min="4" max="4" width="24" customWidth="1"/>
    <x:col min="5" max="5" width="42" customWidth="1"/>
    <x:col min="6" max="6" width="65" customWidth="1"/>
    <x:col min="7" max="7" width="40" customWidth="1"/>
    <x:col min="8" max="8" width="30" customWidth="1"/>
    <x:col min="9" max="9" width="70" customWidth="1"/>
  </x:cols>
  <x:sheetData>
    <x:row r="1" ht="30" customHeight="1">
      <x:c r="A1" s="16" t="inlineStr">
        <x:is>
          <x:t xml:space="preserve">FALHAS DE PONTO — OCORRÊNCIAS SIMULADAS E REGISTRO INDIVIDUAL</x:t>
        </x:is>
      </x:c>
    </x:row>
    <x:row r="2" ht="42" customHeight="1">
      <x:c r="A2" s="17" t="str">
        <x:v>Ocorrências demonstrativas ou relatadas, sujeitas à comprovação por registro original. A anotação de falha não substitui automaticamente uma marcação real. O caso fictício de 12/06/2025 foi retirado por conflito com a saída às 22h00 informada; 12/06/2026 retorna à versão anterior.</x:v>
      </x:c>
    </x:row>
    <x:row r="4" ht="42" customHeight="1">
      <x:c r="A4" s="34" t="inlineStr">
        <x:is>
          <x:t xml:space="preserve">Data</x:t>
        </x:is>
      </x:c>
      <x:c r="B4" s="34" t="inlineStr">
        <x:is>
          <x:t xml:space="preserve">Dia da semana</x:t>
        </x:is>
      </x:c>
      <x:c r="C4" s="34" t="inlineStr">
        <x:is>
          <x:t xml:space="preserve">Batida ausente ou afetada</x:t>
        </x:is>
      </x:c>
      <x:c r="D4" s="34" t="inlineStr">
        <x:is>
          <x:t xml:space="preserve">Horário previsto da batida</x:t>
        </x:is>
      </x:c>
      <x:c r="E4" s="34" t="inlineStr">
        <x:is>
          <x:t xml:space="preserve">Motivo da falha</x:t>
        </x:is>
      </x:c>
      <x:c r="F4" s="34" t="inlineStr">
        <x:is>
          <x:t xml:space="preserve">Providência sugerida para conferência/ajuste</x:t>
        </x:is>
      </x:c>
      <x:c r="G4" s="34" t="inlineStr">
        <x:is>
          <x:t xml:space="preserve">Responsável indicado para conferência/ajuste</x:t>
        </x:is>
      </x:c>
      <x:c r="H4" s="34" t="inlineStr">
        <x:is>
          <x:t xml:space="preserve">Origem do registro</x:t>
        </x:is>
      </x:c>
      <x:c r="I4" s="34" t="inlineStr">
        <x:is>
          <x:t xml:space="preserve">Nota de consistência</x:t>
        </x:is>
      </x:c>
    </x:row>
    <x:row r="5" ht="54" customHeight="1">
      <x:c r="A5" s="47" t="n">
        <x:v>45721</x:v>
      </x:c>
      <x:c r="B5" s="27" t="str">
        <x:v>quarta-feira</x:v>
      </x:c>
      <x:c r="C5" s="27" t="str">
        <x:v>Entrada</x:v>
      </x:c>
      <x:c r="D5" s="27" t="str">
        <x:v>13:00</x:v>
      </x:c>
      <x:c r="E5" s="27" t="str">
        <x:v>Instabilidade de conexão Wi-Fi no tablet do caixa</x:v>
      </x:c>
      <x:c r="F5" s="27" t="str">
        <x:v>FICTÍCIO/SIMULADO — conferir os registros disponíveis e efetuar ajuste manual somente após validação</x:v>
      </x:c>
      <x:c r="G5" s="27" t="str">
        <x:v>Paulo Henrique Ribeiro (gerente — simulação)</x:v>
      </x:c>
      <x:c r="H5" s="27" t="str">
        <x:v>FICTÍCIO/SIMULADO</x:v>
      </x:c>
      <x:c r="I5" s="27" t="str">
        <x:v>Ocorrência fictícia para exercício; horários variados e aproximados, sem pretensão de reproduzir registro real.</x:v>
      </x:c>
    </x:row>
    <x:row r="6" ht="54" customHeight="1">
      <x:c r="A6" s="47" t="n">
        <x:v>45728</x:v>
      </x:c>
      <x:c r="B6" s="27" t="str">
        <x:v>quarta-feira</x:v>
      </x:c>
      <x:c r="C6" s="27" t="str">
        <x:v>Saída</x:v>
      </x:c>
      <x:c r="D6" s="27" t="str">
        <x:v>21:28</x:v>
      </x:c>
      <x:c r="E6" s="27" t="str">
        <x:v>Ausência/intermitência de sinal no local de registro</x:v>
      </x:c>
      <x:c r="F6" s="27" t="str">
        <x:v>FICTÍCIO/SIMULADO — conferir os registros disponíveis e efetuar ajuste manual somente após validação</x:v>
      </x:c>
      <x:c r="G6" s="27" t="str">
        <x:v>Paulo Henrique Ribeiro (gerente — simulação)</x:v>
      </x:c>
      <x:c r="H6" s="27" t="str">
        <x:v>FICTÍCIO/SIMULADO</x:v>
      </x:c>
      <x:c r="I6" s="27" t="str">
        <x:v>Ocorrência fictícia para exercício; horários variados e aproximados, sem pretensão de reproduzir registro real.</x:v>
      </x:c>
    </x:row>
    <x:row r="7" ht="54" customHeight="1">
      <x:c r="A7" s="47" t="n">
        <x:v>45740</x:v>
      </x:c>
      <x:c r="B7" s="27" t="str">
        <x:v>segunda-feira</x:v>
      </x:c>
      <x:c r="C7" s="27" t="str">
        <x:v>Entrada e saída</x:v>
      </x:c>
      <x:c r="D7" s="27" t="str">
        <x:v>13:02 e 21:32</x:v>
      </x:c>
      <x:c r="E7" s="27" t="str">
        <x:v>Falha de comunicação entre o tablet do caixa e o sistema</x:v>
      </x:c>
      <x:c r="F7" s="27" t="str">
        <x:v>FICTÍCIO/SIMULADO — conferir os registros disponíveis e efetuar ajuste manual somente após validação</x:v>
      </x:c>
      <x:c r="G7" s="27" t="str">
        <x:v>Paulo Henrique Ribeiro (gerente — simulação)</x:v>
      </x:c>
      <x:c r="H7" s="27" t="str">
        <x:v>FICTÍCIO/SIMULADO</x:v>
      </x:c>
      <x:c r="I7" s="27" t="str">
        <x:v>Ocorrência fictícia para exercício; horários variados e aproximados, sem pretensão de reproduzir registro real.</x:v>
      </x:c>
    </x:row>
    <x:row r="8" ht="54" customHeight="1">
      <x:c r="A8" s="47" t="n">
        <x:v>45751</x:v>
      </x:c>
      <x:c r="B8" s="27" t="str">
        <x:v>sexta-feira</x:v>
      </x:c>
      <x:c r="C8" s="27" t="str">
        <x:v>Saída</x:v>
      </x:c>
      <x:c r="D8" s="27" t="str">
        <x:v>21:24</x:v>
      </x:c>
      <x:c r="E8" s="27" t="str">
        <x:v>Ausência/intermitência de sinal no local de registro</x:v>
      </x:c>
      <x:c r="F8" s="27" t="str">
        <x:v>FICTÍCIO/SIMULADO — conferir os registros disponíveis e efetuar ajuste manual somente após validação</x:v>
      </x:c>
      <x:c r="G8" s="27" t="str">
        <x:v>Paulo Henrique Ribeiro (gerente — simulação)</x:v>
      </x:c>
      <x:c r="H8" s="27" t="str">
        <x:v>FICTÍCIO/SIMULADO</x:v>
      </x:c>
      <x:c r="I8" s="27" t="str">
        <x:v>Ocorrência fictícia para exercício; horários variados e aproximados, sem pretensão de reproduzir registro real.</x:v>
      </x:c>
    </x:row>
    <x:row r="9" ht="54" customHeight="1">
      <x:c r="A9" s="47" t="n">
        <x:v>45758</x:v>
      </x:c>
      <x:c r="B9" s="27" t="str">
        <x:v>sexta-feira</x:v>
      </x:c>
      <x:c r="C9" s="27" t="str">
        <x:v>Entrada e saída</x:v>
      </x:c>
      <x:c r="D9" s="27" t="str">
        <x:v>12:58 e 21:26</x:v>
      </x:c>
      <x:c r="E9" s="27" t="str">
        <x:v>Falha de comunicação entre o tablet do caixa e o sistema</x:v>
      </x:c>
      <x:c r="F9" s="27" t="str">
        <x:v>FICTÍCIO/SIMULADO — conferir os registros disponíveis e efetuar ajuste manual somente após validação</x:v>
      </x:c>
      <x:c r="G9" s="27" t="str">
        <x:v>Paulo Henrique Ribeiro (gerente — simulação)</x:v>
      </x:c>
      <x:c r="H9" s="27" t="str">
        <x:v>FICTÍCIO/SIMULADO</x:v>
      </x:c>
      <x:c r="I9" s="27" t="str">
        <x:v>Ocorrência fictícia para exercício; horários variados e aproximados, sem pretensão de reproduzir registro real.</x:v>
      </x:c>
    </x:row>
    <x:row r="10" ht="54" customHeight="1">
      <x:c r="A10" s="47" t="n">
        <x:v>45771</x:v>
      </x:c>
      <x:c r="B10" s="27" t="str">
        <x:v>quinta-feira</x:v>
      </x:c>
      <x:c r="C10" s="27" t="str">
        <x:v>Entrada</x:v>
      </x:c>
      <x:c r="D10" s="27" t="str">
        <x:v>13:06</x:v>
      </x:c>
      <x:c r="E10" s="27" t="str">
        <x:v>Instabilidade de conexão Wi-Fi no tablet do caixa</x:v>
      </x:c>
      <x:c r="F10" s="27" t="str">
        <x:v>FICTÍCIO/SIMULADO — conferir os registros disponíveis e efetuar ajuste manual somente após validação</x:v>
      </x:c>
      <x:c r="G10" s="27" t="str">
        <x:v>Paulo Henrique Ribeiro (gerente — simulação)</x:v>
      </x:c>
      <x:c r="H10" s="27" t="str">
        <x:v>FICTÍCIO/SIMULADO</x:v>
      </x:c>
      <x:c r="I10" s="27" t="str">
        <x:v>Ocorrência fictícia para exercício; horários variados e aproximados, sem pretensão de reproduzir registro real.</x:v>
      </x:c>
    </x:row>
    <x:row r="11" ht="54" customHeight="1">
      <x:c r="A11" s="47" t="n">
        <x:v>45782</x:v>
      </x:c>
      <x:c r="B11" s="27" t="str">
        <x:v>segunda-feira</x:v>
      </x:c>
      <x:c r="C11" s="27" t="str">
        <x:v>Entrada e saída</x:v>
      </x:c>
      <x:c r="D11" s="27" t="str">
        <x:v>12:57 e 21:42</x:v>
      </x:c>
      <x:c r="E11" s="27" t="str">
        <x:v>Falha de comunicação entre o tablet do caixa e o sistema</x:v>
      </x:c>
      <x:c r="F11" s="27" t="str">
        <x:v>FICTÍCIO/SIMULADO — conferir os registros disponíveis e efetuar ajuste manual somente após validação</x:v>
      </x:c>
      <x:c r="G11" s="27" t="str">
        <x:v>Paulo Henrique Ribeiro (gerente — simulação)</x:v>
      </x:c>
      <x:c r="H11" s="27" t="str">
        <x:v>FICTÍCIO/SIMULADO</x:v>
      </x:c>
      <x:c r="I11" s="27" t="str">
        <x:v>Ocorrência fictícia para exercício; horários variados e aproximados, sem pretensão de reproduzir registro real.</x:v>
      </x:c>
    </x:row>
    <x:row r="12" ht="54" customHeight="1">
      <x:c r="A12" s="47" t="n">
        <x:v>45789</x:v>
      </x:c>
      <x:c r="B12" s="27" t="str">
        <x:v>segunda-feira</x:v>
      </x:c>
      <x:c r="C12" s="27" t="str">
        <x:v>Entrada</x:v>
      </x:c>
      <x:c r="D12" s="27" t="str">
        <x:v>13:01</x:v>
      </x:c>
      <x:c r="E12" s="27" t="str">
        <x:v>Instabilidade de conexão Wi-Fi no tablet do caixa</x:v>
      </x:c>
      <x:c r="F12" s="27" t="str">
        <x:v>FICTÍCIO/SIMULADO — conferir os registros disponíveis e efetuar ajuste manual somente após validação</x:v>
      </x:c>
      <x:c r="G12" s="27" t="str">
        <x:v>Paulo Henrique Ribeiro (gerente — simulação)</x:v>
      </x:c>
      <x:c r="H12" s="27" t="str">
        <x:v>FICTÍCIO/SIMULADO</x:v>
      </x:c>
      <x:c r="I12" s="27" t="str">
        <x:v>Ocorrência fictícia para exercício; horários variados e aproximados, sem pretensão de reproduzir registro real.</x:v>
      </x:c>
    </x:row>
    <x:row r="13" ht="54" customHeight="1">
      <x:c r="A13" s="47" t="n">
        <x:v>45800</x:v>
      </x:c>
      <x:c r="B13" s="27" t="str">
        <x:v>sexta-feira</x:v>
      </x:c>
      <x:c r="C13" s="27" t="str">
        <x:v>Saída</x:v>
      </x:c>
      <x:c r="D13" s="27" t="str">
        <x:v>21:42</x:v>
      </x:c>
      <x:c r="E13" s="27" t="str">
        <x:v>Ausência/intermitência de sinal no local de registro</x:v>
      </x:c>
      <x:c r="F13" s="27" t="str">
        <x:v>FICTÍCIO/SIMULADO — conferir os registros disponíveis e efetuar ajuste manual somente após validação</x:v>
      </x:c>
      <x:c r="G13" s="27" t="str">
        <x:v>Paulo Henrique Ribeiro (gerente — simulação)</x:v>
      </x:c>
      <x:c r="H13" s="27" t="str">
        <x:v>FICTÍCIO/SIMULADO</x:v>
      </x:c>
      <x:c r="I13" s="27" t="str">
        <x:v>Ocorrência fictícia para exercício; horários variados e aproximados, sem pretensão de reproduzir registro real.</x:v>
      </x:c>
    </x:row>
    <x:row r="14" ht="54" customHeight="1">
      <x:c r="A14" s="47" t="n">
        <x:v>45813</x:v>
      </x:c>
      <x:c r="B14" s="27" t="str">
        <x:v>quinta-feira</x:v>
      </x:c>
      <x:c r="C14" s="27" t="str">
        <x:v>Entrada</x:v>
      </x:c>
      <x:c r="D14" s="27" t="str">
        <x:v>12:59</x:v>
      </x:c>
      <x:c r="E14" s="27" t="str">
        <x:v>Instabilidade de conexão Wi-Fi no tablet do caixa</x:v>
      </x:c>
      <x:c r="F14" s="27" t="str">
        <x:v>FICTÍCIO/SIMULADO — conferir os registros disponíveis e efetuar ajuste manual somente após validação</x:v>
      </x:c>
      <x:c r="G14" s="27" t="str">
        <x:v>Paulo Henrique Ribeiro (gerente — simulação)</x:v>
      </x:c>
      <x:c r="H14" s="27" t="str">
        <x:v>FICTÍCIO/SIMULADO</x:v>
      </x:c>
      <x:c r="I14" s="27" t="str">
        <x:v>Ocorrência fictícia para exercício; horários variados e aproximados, sem pretensão de reproduzir registro real.</x:v>
      </x:c>
    </x:row>
    <x:row r="15" ht="54" customHeight="1">
      <x:c r="A15" s="47" t="n">
        <x:v>45832</x:v>
      </x:c>
      <x:c r="B15" s="27" t="str">
        <x:v>terça-feira</x:v>
      </x:c>
      <x:c r="C15" s="27" t="str">
        <x:v>Entrada e saída</x:v>
      </x:c>
      <x:c r="D15" s="27" t="str">
        <x:v>13:06 e 21:24</x:v>
      </x:c>
      <x:c r="E15" s="27" t="str">
        <x:v>Falha de comunicação entre o tablet do caixa e o sistema</x:v>
      </x:c>
      <x:c r="F15" s="27" t="str">
        <x:v>FICTÍCIO/SIMULADO — conferir os registros disponíveis e efetuar ajuste manual somente após validação</x:v>
      </x:c>
      <x:c r="G15" s="27" t="str">
        <x:v>Paulo Henrique Ribeiro (gerente — simulação)</x:v>
      </x:c>
      <x:c r="H15" s="27" t="str">
        <x:v>FICTÍCIO/SIMULADO</x:v>
      </x:c>
      <x:c r="I15" s="27" t="str">
        <x:v>Ocorrência fictícia para exercício; horários variados e aproximados, sem pretensão de reproduzir registro real.</x:v>
      </x:c>
    </x:row>
    <x:row r="16" ht="54" customHeight="1">
      <x:c r="A16" s="47" t="n">
        <x:v>45842</x:v>
      </x:c>
      <x:c r="B16" s="27" t="str">
        <x:v>sexta-feira</x:v>
      </x:c>
      <x:c r="C16" s="27" t="str">
        <x:v>Saída</x:v>
      </x:c>
      <x:c r="D16" s="27" t="str">
        <x:v>21:28</x:v>
      </x:c>
      <x:c r="E16" s="27" t="str">
        <x:v>Ausência/intermitência de sinal no local de registro</x:v>
      </x:c>
      <x:c r="F16" s="27" t="str">
        <x:v>FICTÍCIO/SIMULADO — conferir os registros disponíveis e efetuar ajuste manual somente após validação</x:v>
      </x:c>
      <x:c r="G16" s="27" t="str">
        <x:v>Paulo Henrique Ribeiro (gerente — simulação)</x:v>
      </x:c>
      <x:c r="H16" s="27" t="str">
        <x:v>FICTÍCIO/SIMULADO</x:v>
      </x:c>
      <x:c r="I16" s="27" t="str">
        <x:v>Ocorrência fictícia para exercício; horários variados e aproximados, sem pretensão de reproduzir registro real.</x:v>
      </x:c>
    </x:row>
    <x:row r="17" ht="54" customHeight="1">
      <x:c r="A17" s="47" t="n">
        <x:v>45849</x:v>
      </x:c>
      <x:c r="B17" s="27" t="str">
        <x:v>sexta-feira</x:v>
      </x:c>
      <x:c r="C17" s="27" t="str">
        <x:v>Entrada e saída</x:v>
      </x:c>
      <x:c r="D17" s="27" t="str">
        <x:v>12:55 e 21:24</x:v>
      </x:c>
      <x:c r="E17" s="27" t="str">
        <x:v>Falha de comunicação entre o tablet do caixa e o sistema</x:v>
      </x:c>
      <x:c r="F17" s="27" t="str">
        <x:v>FICTÍCIO/SIMULADO — conferir os registros disponíveis e efetuar ajuste manual somente após validação</x:v>
      </x:c>
      <x:c r="G17" s="27" t="str">
        <x:v>Paulo Henrique Ribeiro (gerente — simulação)</x:v>
      </x:c>
      <x:c r="H17" s="27" t="str">
        <x:v>FICTÍCIO/SIMULADO</x:v>
      </x:c>
      <x:c r="I17" s="27" t="str">
        <x:v>Ocorrência fictícia para exercício; horários variados e aproximados, sem pretensão de reproduzir registro real.</x:v>
      </x:c>
    </x:row>
    <x:row r="18" ht="54" customHeight="1">
      <x:c r="A18" s="47" t="n">
        <x:v>45862</x:v>
      </x:c>
      <x:c r="B18" s="27" t="str">
        <x:v>quinta-feira</x:v>
      </x:c>
      <x:c r="C18" s="27" t="str">
        <x:v>Entrada</x:v>
      </x:c>
      <x:c r="D18" s="27" t="str">
        <x:v>13:01</x:v>
      </x:c>
      <x:c r="E18" s="27" t="str">
        <x:v>Instabilidade de conexão Wi-Fi no tablet do caixa</x:v>
      </x:c>
      <x:c r="F18" s="27" t="str">
        <x:v>FICTÍCIO/SIMULADO — conferir os registros disponíveis e efetuar ajuste manual somente após validação</x:v>
      </x:c>
      <x:c r="G18" s="27" t="str">
        <x:v>Paulo Henrique Ribeiro (gerente — simulação)</x:v>
      </x:c>
      <x:c r="H18" s="27" t="str">
        <x:v>FICTÍCIO/SIMULADO</x:v>
      </x:c>
      <x:c r="I18" s="27" t="str">
        <x:v>Ocorrência fictícia para exercício; horários variados e aproximados, sem pretensão de reproduzir registro real.</x:v>
      </x:c>
    </x:row>
    <x:row r="19" ht="54" customHeight="1">
      <x:c r="A19" s="47" t="n">
        <x:v>45874</x:v>
      </x:c>
      <x:c r="B19" s="27" t="str">
        <x:v>terça-feira</x:v>
      </x:c>
      <x:c r="C19" s="27" t="str">
        <x:v>Entrada e saída</x:v>
      </x:c>
      <x:c r="D19" s="27" t="str">
        <x:v>13:04 e 21:30</x:v>
      </x:c>
      <x:c r="E19" s="27" t="str">
        <x:v>Falha de comunicação entre o tablet do caixa e o sistema</x:v>
      </x:c>
      <x:c r="F19" s="27" t="str">
        <x:v>FICTÍCIO/SIMULADO — conferir os registros disponíveis e efetuar ajuste manual somente após validação</x:v>
      </x:c>
      <x:c r="G19" s="27" t="str">
        <x:v>Paulo Henrique Ribeiro (gerente — simulação)</x:v>
      </x:c>
      <x:c r="H19" s="27" t="str">
        <x:v>FICTÍCIO/SIMULADO</x:v>
      </x:c>
      <x:c r="I19" s="27" t="str">
        <x:v>Ocorrência fictícia para exercício; horários variados e aproximados, sem pretensão de reproduzir registro real.</x:v>
      </x:c>
    </x:row>
    <x:row r="20" ht="54" customHeight="1">
      <x:c r="A20" s="47" t="n">
        <x:v>45881</x:v>
      </x:c>
      <x:c r="B20" s="27" t="str">
        <x:v>terça-feira</x:v>
      </x:c>
      <x:c r="C20" s="27" t="str">
        <x:v>Entrada</x:v>
      </x:c>
      <x:c r="D20" s="27" t="str">
        <x:v>13:02</x:v>
      </x:c>
      <x:c r="E20" s="27" t="str">
        <x:v>Instabilidade de conexão Wi-Fi no tablet do caixa</x:v>
      </x:c>
      <x:c r="F20" s="27" t="str">
        <x:v>FICTÍCIO/SIMULADO — conferir os registros disponíveis e efetuar ajuste manual somente após validação</x:v>
      </x:c>
      <x:c r="G20" s="27" t="str">
        <x:v>Paulo Henrique Ribeiro (gerente — simulação)</x:v>
      </x:c>
      <x:c r="H20" s="27" t="str">
        <x:v>FICTÍCIO/SIMULADO</x:v>
      </x:c>
      <x:c r="I20" s="27" t="str">
        <x:v>Ocorrência fictícia para exercício; horários variados e aproximados, sem pretensão de reproduzir registro real.</x:v>
      </x:c>
    </x:row>
    <x:row r="21" ht="54" customHeight="1">
      <x:c r="A21" s="47" t="n">
        <x:v>45894</x:v>
      </x:c>
      <x:c r="B21" s="27" t="str">
        <x:v>segunda-feira</x:v>
      </x:c>
      <x:c r="C21" s="27" t="str">
        <x:v>Saída</x:v>
      </x:c>
      <x:c r="D21" s="27" t="str">
        <x:v>21:38</x:v>
      </x:c>
      <x:c r="E21" s="27" t="str">
        <x:v>Ausência/intermitência de sinal no local de registro</x:v>
      </x:c>
      <x:c r="F21" s="27" t="str">
        <x:v>FICTÍCIO/SIMULADO — conferir os registros disponíveis e efetuar ajuste manual somente após validação</x:v>
      </x:c>
      <x:c r="G21" s="27" t="str">
        <x:v>Paulo Henrique Ribeiro (gerente — simulação)</x:v>
      </x:c>
      <x:c r="H21" s="27" t="str">
        <x:v>FICTÍCIO/SIMULADO</x:v>
      </x:c>
      <x:c r="I21" s="27" t="str">
        <x:v>Ocorrência fictícia para exercício; horários variados e aproximados, sem pretensão de reproduzir registro real.</x:v>
      </x:c>
    </x:row>
    <x:row r="22" ht="54" customHeight="1">
      <x:c r="A22" s="47" t="n">
        <x:v>45905</x:v>
      </x:c>
      <x:c r="B22" s="27" t="str">
        <x:v>sexta-feira</x:v>
      </x:c>
      <x:c r="C22" s="27" t="str">
        <x:v>Entrada</x:v>
      </x:c>
      <x:c r="D22" s="27" t="str">
        <x:v>13:04</x:v>
      </x:c>
      <x:c r="E22" s="27" t="str">
        <x:v>Instabilidade de conexão Wi-Fi no tablet do caixa</x:v>
      </x:c>
      <x:c r="F22" s="27" t="str">
        <x:v>FICTÍCIO/SIMULADO — conferir os registros disponíveis e efetuar ajuste manual somente após validação</x:v>
      </x:c>
      <x:c r="G22" s="27" t="str">
        <x:v>Paulo Henrique Ribeiro (gerente — simulação)</x:v>
      </x:c>
      <x:c r="H22" s="27" t="str">
        <x:v>FICTÍCIO/SIMULADO</x:v>
      </x:c>
      <x:c r="I22" s="27" t="str">
        <x:v>Ocorrência fictícia para exercício; horários variados e aproximados, sem pretensão de reproduzir registro real.</x:v>
      </x:c>
    </x:row>
    <x:row r="23" ht="54" customHeight="1">
      <x:c r="A23" s="47" t="n">
        <x:v>45912</x:v>
      </x:c>
      <x:c r="B23" s="27" t="str">
        <x:v>sexta-feira</x:v>
      </x:c>
      <x:c r="C23" s="27" t="str">
        <x:v>Saída</x:v>
      </x:c>
      <x:c r="D23" s="27" t="str">
        <x:v>21:42</x:v>
      </x:c>
      <x:c r="E23" s="27" t="str">
        <x:v>Ausência/intermitência de sinal no local de registro</x:v>
      </x:c>
      <x:c r="F23" s="27" t="str">
        <x:v>FICTÍCIO/SIMULADO — conferir os registros disponíveis e efetuar ajuste manual somente após validação</x:v>
      </x:c>
      <x:c r="G23" s="27" t="str">
        <x:v>Paulo Henrique Ribeiro (gerente — simulação)</x:v>
      </x:c>
      <x:c r="H23" s="27" t="str">
        <x:v>FICTÍCIO/SIMULADO</x:v>
      </x:c>
      <x:c r="I23" s="27" t="str">
        <x:v>Ocorrência fictícia para exercício; horários variados e aproximados, sem pretensão de reproduzir registro real.</x:v>
      </x:c>
    </x:row>
    <x:row r="24" ht="54" customHeight="1">
      <x:c r="A24" s="47" t="n">
        <x:v>45924</x:v>
      </x:c>
      <x:c r="B24" s="27" t="str">
        <x:v>quarta-feira</x:v>
      </x:c>
      <x:c r="C24" s="27" t="str">
        <x:v>Entrada e saída</x:v>
      </x:c>
      <x:c r="D24" s="27" t="str">
        <x:v>12:59 e 21:35</x:v>
      </x:c>
      <x:c r="E24" s="27" t="str">
        <x:v>Falha de comunicação entre o tablet do caixa e o sistema</x:v>
      </x:c>
      <x:c r="F24" s="27" t="str">
        <x:v>FICTÍCIO/SIMULADO — conferir os registros disponíveis e efetuar ajuste manual somente após validação</x:v>
      </x:c>
      <x:c r="G24" s="27" t="str">
        <x:v>Paulo Henrique Ribeiro (gerente — simulação)</x:v>
      </x:c>
      <x:c r="H24" s="27" t="str">
        <x:v>FICTÍCIO/SIMULADO</x:v>
      </x:c>
      <x:c r="I24" s="27" t="str">
        <x:v>Ocorrência fictícia para exercício; horários variados e aproximados, sem pretensão de reproduzir registro real.</x:v>
      </x:c>
    </x:row>
    <x:row r="25" ht="54" customHeight="1">
      <x:c r="A25" s="47" t="n">
        <x:v>45936</x:v>
      </x:c>
      <x:c r="B25" s="27" t="str">
        <x:v>segunda-feira</x:v>
      </x:c>
      <x:c r="C25" s="27" t="str">
        <x:v>Saída</x:v>
      </x:c>
      <x:c r="D25" s="27" t="str">
        <x:v>21:32</x:v>
      </x:c>
      <x:c r="E25" s="27" t="str">
        <x:v>Ausência/intermitência de sinal no local de registro</x:v>
      </x:c>
      <x:c r="F25" s="27" t="str">
        <x:v>FICTÍCIO/SIMULADO — conferir os registros disponíveis e efetuar ajuste manual somente após validação</x:v>
      </x:c>
      <x:c r="G25" s="27" t="str">
        <x:v>Paulo Henrique Ribeiro (gerente — simulação)</x:v>
      </x:c>
      <x:c r="H25" s="27" t="str">
        <x:v>FICTÍCIO/SIMULADO</x:v>
      </x:c>
      <x:c r="I25" s="27" t="str">
        <x:v>Ocorrência fictícia para exercício; horários variados e aproximados, sem pretensão de reproduzir registro real.</x:v>
      </x:c>
    </x:row>
    <x:row r="26" ht="54" customHeight="1">
      <x:c r="A26" s="47" t="n">
        <x:v>45943</x:v>
      </x:c>
      <x:c r="B26" s="27" t="str">
        <x:v>segunda-feira</x:v>
      </x:c>
      <x:c r="C26" s="27" t="str">
        <x:v>Entrada e saída</x:v>
      </x:c>
      <x:c r="D26" s="27" t="str">
        <x:v>12:57 e 21:35</x:v>
      </x:c>
      <x:c r="E26" s="27" t="str">
        <x:v>Falha de comunicação entre o tablet do caixa e o sistema</x:v>
      </x:c>
      <x:c r="F26" s="27" t="str">
        <x:v>FICTÍCIO/SIMULADO — conferir os registros disponíveis e efetuar ajuste manual somente após validação</x:v>
      </x:c>
      <x:c r="G26" s="27" t="str">
        <x:v>Paulo Henrique Ribeiro (gerente — simulação)</x:v>
      </x:c>
      <x:c r="H26" s="27" t="str">
        <x:v>FICTÍCIO/SIMULADO</x:v>
      </x:c>
      <x:c r="I26" s="27" t="str">
        <x:v>Ocorrência fictícia para exercício; horários variados e aproximados, sem pretensão de reproduzir registro real.</x:v>
      </x:c>
    </x:row>
    <x:row r="27" ht="54" customHeight="1">
      <x:c r="A27" s="47" t="n">
        <x:v>45954</x:v>
      </x:c>
      <x:c r="B27" s="27" t="str">
        <x:v>sexta-feira</x:v>
      </x:c>
      <x:c r="C27" s="27" t="str">
        <x:v>Entrada</x:v>
      </x:c>
      <x:c r="D27" s="27" t="str">
        <x:v>13:06</x:v>
      </x:c>
      <x:c r="E27" s="27" t="str">
        <x:v>Instabilidade de conexão Wi-Fi no tablet do caixa</x:v>
      </x:c>
      <x:c r="F27" s="27" t="str">
        <x:v>FICTÍCIO/SIMULADO — conferir os registros disponíveis e efetuar ajuste manual somente após validação</x:v>
      </x:c>
      <x:c r="G27" s="27" t="str">
        <x:v>Paulo Henrique Ribeiro (gerente — simulação)</x:v>
      </x:c>
      <x:c r="H27" s="27" t="str">
        <x:v>FICTÍCIO/SIMULADO</x:v>
      </x:c>
      <x:c r="I27" s="27" t="str">
        <x:v>Ocorrência fictícia para exercício; horários variados e aproximados, sem pretensão de reproduzir registro real.</x:v>
      </x:c>
    </x:row>
    <x:row r="28" ht="54" customHeight="1">
      <x:c r="A28" s="47" t="n">
        <x:v>45966</x:v>
      </x:c>
      <x:c r="B28" s="27" t="str">
        <x:v>quarta-feira</x:v>
      </x:c>
      <x:c r="C28" s="27" t="str">
        <x:v>Entrada e saída</x:v>
      </x:c>
      <x:c r="D28" s="27" t="str">
        <x:v>12:58 e 21:35</x:v>
      </x:c>
      <x:c r="E28" s="27" t="str">
        <x:v>Falha de comunicação entre o tablet do caixa e o sistema</x:v>
      </x:c>
      <x:c r="F28" s="27" t="str">
        <x:v>FICTÍCIO/SIMULADO — conferir os registros disponíveis e efetuar ajuste manual somente após validação</x:v>
      </x:c>
      <x:c r="G28" s="27" t="str">
        <x:v>Paulo Henrique Ribeiro (gerente — simulação)</x:v>
      </x:c>
      <x:c r="H28" s="27" t="str">
        <x:v>FICTÍCIO/SIMULADO</x:v>
      </x:c>
      <x:c r="I28" s="27" t="str">
        <x:v>Ocorrência fictícia para exercício; horários variados e aproximados, sem pretensão de reproduzir registro real.</x:v>
      </x:c>
    </x:row>
    <x:row r="29" ht="54" customHeight="1">
      <x:c r="A29" s="47" t="n">
        <x:v>45973</x:v>
      </x:c>
      <x:c r="B29" s="27" t="str">
        <x:v>quarta-feira</x:v>
      </x:c>
      <x:c r="C29" s="27" t="str">
        <x:v>Entrada</x:v>
      </x:c>
      <x:c r="D29" s="27" t="str">
        <x:v>12:55</x:v>
      </x:c>
      <x:c r="E29" s="27" t="str">
        <x:v>Instabilidade de conexão Wi-Fi no tablet do caixa</x:v>
      </x:c>
      <x:c r="F29" s="27" t="str">
        <x:v>FICTÍCIO/SIMULADO — conferir os registros disponíveis e efetuar ajuste manual somente após validação</x:v>
      </x:c>
      <x:c r="G29" s="27" t="str">
        <x:v>Paulo Henrique Ribeiro (gerente — simulação)</x:v>
      </x:c>
      <x:c r="H29" s="27" t="str">
        <x:v>FICTÍCIO/SIMULADO</x:v>
      </x:c>
      <x:c r="I29" s="27" t="str">
        <x:v>Ocorrência fictícia para exercício; horários variados e aproximados, sem pretensão de reproduzir registro real.</x:v>
      </x:c>
    </x:row>
    <x:row r="30" ht="54" customHeight="1">
      <x:c r="A30" s="47" t="n">
        <x:v>45985</x:v>
      </x:c>
      <x:c r="B30" s="27" t="str">
        <x:v>segunda-feira</x:v>
      </x:c>
      <x:c r="C30" s="27" t="str">
        <x:v>Saída</x:v>
      </x:c>
      <x:c r="D30" s="27" t="str">
        <x:v>21:26</x:v>
      </x:c>
      <x:c r="E30" s="27" t="str">
        <x:v>Ausência/intermitência de sinal no local de registro</x:v>
      </x:c>
      <x:c r="F30" s="27" t="str">
        <x:v>FICTÍCIO/SIMULADO — conferir os registros disponíveis e efetuar ajuste manual somente após validação</x:v>
      </x:c>
      <x:c r="G30" s="27" t="str">
        <x:v>Paulo Henrique Ribeiro (gerente — simulação)</x:v>
      </x:c>
      <x:c r="H30" s="27" t="str">
        <x:v>FICTÍCIO/SIMULADO</x:v>
      </x:c>
      <x:c r="I30" s="27" t="str">
        <x:v>Ocorrência fictícia para exercício; horários variados e aproximados, sem pretensão de reproduzir registro real.</x:v>
      </x:c>
    </x:row>
    <x:row r="31" ht="54" customHeight="1">
      <x:c r="A31" s="47" t="n">
        <x:v>45996</x:v>
      </x:c>
      <x:c r="B31" s="27" t="str">
        <x:v>sexta-feira</x:v>
      </x:c>
      <x:c r="C31" s="27" t="str">
        <x:v>Entrada</x:v>
      </x:c>
      <x:c r="D31" s="27" t="str">
        <x:v>12:57</x:v>
      </x:c>
      <x:c r="E31" s="27" t="str">
        <x:v>Instabilidade de conexão Wi-Fi no tablet do caixa</x:v>
      </x:c>
      <x:c r="F31" s="27" t="str">
        <x:v>FICTÍCIO/SIMULADO — conferir os registros disponíveis e efetuar ajuste manual somente após validação</x:v>
      </x:c>
      <x:c r="G31" s="27" t="str">
        <x:v>Paulo Henrique Ribeiro (gerente — simulação)</x:v>
      </x:c>
      <x:c r="H31" s="27" t="str">
        <x:v>FICTÍCIO/SIMULADO</x:v>
      </x:c>
      <x:c r="I31" s="27" t="str">
        <x:v>Ocorrência fictícia para exercício; horários variados e aproximados, sem pretensão de reproduzir registro real.</x:v>
      </x:c>
    </x:row>
    <x:row r="32" ht="54" customHeight="1">
      <x:c r="A32" s="47" t="n">
        <x:v>46003</x:v>
      </x:c>
      <x:c r="B32" s="27" t="str">
        <x:v>sexta-feira</x:v>
      </x:c>
      <x:c r="C32" s="27" t="str">
        <x:v>Saída</x:v>
      </x:c>
      <x:c r="D32" s="27" t="str">
        <x:v>21:26</x:v>
      </x:c>
      <x:c r="E32" s="27" t="str">
        <x:v>Ausência/intermitência de sinal no local de registro</x:v>
      </x:c>
      <x:c r="F32" s="27" t="str">
        <x:v>FICTÍCIO/SIMULADO — conferir os registros disponíveis e efetuar ajuste manual somente após validação</x:v>
      </x:c>
      <x:c r="G32" s="27" t="str">
        <x:v>Paulo Henrique Ribeiro (gerente — simulação)</x:v>
      </x:c>
      <x:c r="H32" s="27" t="str">
        <x:v>FICTÍCIO/SIMULADO</x:v>
      </x:c>
      <x:c r="I32" s="27" t="str">
        <x:v>Ocorrência fictícia para exercício; horários variados e aproximados, sem pretensão de reproduzir registro real.</x:v>
      </x:c>
    </x:row>
    <x:row r="33" ht="54" customHeight="1">
      <x:c r="A33" s="47" t="n">
        <x:v>46015</x:v>
      </x:c>
      <x:c r="B33" s="27" t="str">
        <x:v>quarta-feira</x:v>
      </x:c>
      <x:c r="C33" s="27" t="str">
        <x:v>Entrada e saída</x:v>
      </x:c>
      <x:c r="D33" s="27" t="str">
        <x:v>12:58 e 21:22</x:v>
      </x:c>
      <x:c r="E33" s="27" t="str">
        <x:v>Falha de comunicação entre o tablet do caixa e o sistema</x:v>
      </x:c>
      <x:c r="F33" s="27" t="str">
        <x:v>FICTÍCIO/SIMULADO — conferir os registros disponíveis e efetuar ajuste manual somente após validação</x:v>
      </x:c>
      <x:c r="G33" s="27" t="str">
        <x:v>Paulo Henrique Ribeiro (gerente — simulação)</x:v>
      </x:c>
      <x:c r="H33" s="27" t="str">
        <x:v>FICTÍCIO/SIMULADO</x:v>
      </x:c>
      <x:c r="I33" s="27" t="str">
        <x:v>Ocorrência fictícia para exercício; horários variados e aproximados, sem pretensão de reproduzir registro real.</x:v>
      </x:c>
    </x:row>
    <x:row r="34" ht="54" customHeight="1">
      <x:c r="A34" s="47" t="n">
        <x:v>46027</x:v>
      </x:c>
      <x:c r="B34" s="27" t="str">
        <x:v>segunda-feira</x:v>
      </x:c>
      <x:c r="C34" s="27" t="str">
        <x:v>Saída</x:v>
      </x:c>
      <x:c r="D34" s="27" t="str">
        <x:v>21:30</x:v>
      </x:c>
      <x:c r="E34" s="27" t="str">
        <x:v>Ausência/intermitência de sinal no local de registro</x:v>
      </x:c>
      <x:c r="F34" s="27" t="str">
        <x:v>FICTÍCIO/SIMULADO — conferir os registros disponíveis e efetuar ajuste manual somente após validação</x:v>
      </x:c>
      <x:c r="G34" s="27" t="str">
        <x:v>Paulo Henrique Ribeiro (gerente — simulação)</x:v>
      </x:c>
      <x:c r="H34" s="27" t="str">
        <x:v>FICTÍCIO/SIMULADO</x:v>
      </x:c>
      <x:c r="I34" s="27" t="str">
        <x:v>Ocorrência fictícia para exercício; horários variados e aproximados, sem pretensão de reproduzir registro real.</x:v>
      </x:c>
    </x:row>
    <x:row r="35" ht="54" customHeight="1">
      <x:c r="A35" s="47" t="n">
        <x:v>46034</x:v>
      </x:c>
      <x:c r="B35" s="27" t="str">
        <x:v>segunda-feira</x:v>
      </x:c>
      <x:c r="C35" s="27" t="str">
        <x:v>Entrada e saída</x:v>
      </x:c>
      <x:c r="D35" s="27" t="str">
        <x:v>12:57 e 21:42</x:v>
      </x:c>
      <x:c r="E35" s="27" t="str">
        <x:v>Falha de comunicação entre o tablet do caixa e o sistema</x:v>
      </x:c>
      <x:c r="F35" s="27" t="str">
        <x:v>FICTÍCIO/SIMULADO — conferir os registros disponíveis e efetuar ajuste manual somente após validação</x:v>
      </x:c>
      <x:c r="G35" s="27" t="str">
        <x:v>Paulo Henrique Ribeiro (gerente — simulação)</x:v>
      </x:c>
      <x:c r="H35" s="27" t="str">
        <x:v>FICTÍCIO/SIMULADO</x:v>
      </x:c>
      <x:c r="I35" s="27" t="str">
        <x:v>Ocorrência fictícia para exercício; horários variados e aproximados, sem pretensão de reproduzir registro real.</x:v>
      </x:c>
    </x:row>
    <x:row r="36" ht="54" customHeight="1">
      <x:c r="A36" s="47" t="n">
        <x:v>46045</x:v>
      </x:c>
      <x:c r="B36" s="27" t="str">
        <x:v>sexta-feira</x:v>
      </x:c>
      <x:c r="C36" s="27" t="str">
        <x:v>Entrada</x:v>
      </x:c>
      <x:c r="D36" s="27" t="str">
        <x:v>12:58</x:v>
      </x:c>
      <x:c r="E36" s="27" t="str">
        <x:v>Instabilidade de conexão Wi-Fi no tablet do caixa</x:v>
      </x:c>
      <x:c r="F36" s="27" t="str">
        <x:v>FICTÍCIO/SIMULADO — conferir os registros disponíveis e efetuar ajuste manual somente após validação</x:v>
      </x:c>
      <x:c r="G36" s="27" t="str">
        <x:v>Paulo Henrique Ribeiro (gerente — simulação)</x:v>
      </x:c>
      <x:c r="H36" s="27" t="str">
        <x:v>FICTÍCIO/SIMULADO</x:v>
      </x:c>
      <x:c r="I36" s="27" t="str">
        <x:v>Ocorrência fictícia para exercício; horários variados e aproximados, sem pretensão de reproduzir registro real.</x:v>
      </x:c>
    </x:row>
    <x:row r="37" ht="54" customHeight="1">
      <x:c r="A37" s="47" t="n">
        <x:v>46058</x:v>
      </x:c>
      <x:c r="B37" s="27" t="str">
        <x:v>quinta-feira</x:v>
      </x:c>
      <x:c r="C37" s="27" t="str">
        <x:v>Entrada e saída</x:v>
      </x:c>
      <x:c r="D37" s="27" t="str">
        <x:v>13:01 e 21:24</x:v>
      </x:c>
      <x:c r="E37" s="27" t="str">
        <x:v>Falha de comunicação entre o tablet do caixa e o sistema</x:v>
      </x:c>
      <x:c r="F37" s="27" t="str">
        <x:v>FICTÍCIO/SIMULADO — conferir os registros disponíveis e efetuar ajuste manual somente após validação</x:v>
      </x:c>
      <x:c r="G37" s="27" t="str">
        <x:v>Paulo Henrique Ribeiro (gerente — simulação)</x:v>
      </x:c>
      <x:c r="H37" s="27" t="str">
        <x:v>FICTÍCIO/SIMULADO</x:v>
      </x:c>
      <x:c r="I37" s="27" t="str">
        <x:v>Ocorrência fictícia para exercício; horários variados e aproximados, sem pretensão de reproduzir registro real.</x:v>
      </x:c>
    </x:row>
    <x:row r="38" ht="54" customHeight="1">
      <x:c r="A38" s="47" t="n">
        <x:v>46065</x:v>
      </x:c>
      <x:c r="B38" s="27" t="str">
        <x:v>quinta-feira</x:v>
      </x:c>
      <x:c r="C38" s="27" t="str">
        <x:v>Entrada</x:v>
      </x:c>
      <x:c r="D38" s="27" t="str">
        <x:v>12:55</x:v>
      </x:c>
      <x:c r="E38" s="27" t="str">
        <x:v>Instabilidade de conexão Wi-Fi no tablet do caixa</x:v>
      </x:c>
      <x:c r="F38" s="27" t="str">
        <x:v>FICTÍCIO/SIMULADO — conferir os registros disponíveis e efetuar ajuste manual somente após validação</x:v>
      </x:c>
      <x:c r="G38" s="27" t="str">
        <x:v>Paulo Henrique Ribeiro (gerente — simulação)</x:v>
      </x:c>
      <x:c r="H38" s="27" t="str">
        <x:v>FICTÍCIO/SIMULADO</x:v>
      </x:c>
      <x:c r="I38" s="27" t="str">
        <x:v>Ocorrência fictícia para exercício; horários variados e aproximados, sem pretensão de reproduzir registro real.</x:v>
      </x:c>
    </x:row>
    <x:row r="39" ht="54" customHeight="1">
      <x:c r="A39" s="47" t="n">
        <x:v>46077</x:v>
      </x:c>
      <x:c r="B39" s="27" t="str">
        <x:v>terça-feira</x:v>
      </x:c>
      <x:c r="C39" s="27" t="str">
        <x:v>Saída</x:v>
      </x:c>
      <x:c r="D39" s="27" t="str">
        <x:v>21:38</x:v>
      </x:c>
      <x:c r="E39" s="27" t="str">
        <x:v>Ausência/intermitência de sinal no local de registro</x:v>
      </x:c>
      <x:c r="F39" s="27" t="str">
        <x:v>FICTÍCIO/SIMULADO — conferir os registros disponíveis e efetuar ajuste manual somente após validação</x:v>
      </x:c>
      <x:c r="G39" s="27" t="str">
        <x:v>Paulo Henrique Ribeiro (gerente — simulação)</x:v>
      </x:c>
      <x:c r="H39" s="27" t="str">
        <x:v>FICTÍCIO/SIMULADO</x:v>
      </x:c>
      <x:c r="I39" s="27" t="str">
        <x:v>Ocorrência fictícia para exercício; horários variados e aproximados, sem pretensão de reproduzir registro real.</x:v>
      </x:c>
    </x:row>
    <x:row r="40" ht="54" customHeight="1">
      <x:c r="A40" s="47" t="n">
        <x:v>46086</x:v>
      </x:c>
      <x:c r="B40" s="27" t="str">
        <x:v>quinta-feira</x:v>
      </x:c>
      <x:c r="C40" s="27" t="str">
        <x:v>Entrada</x:v>
      </x:c>
      <x:c r="D40" s="27" t="str">
        <x:v>13:04</x:v>
      </x:c>
      <x:c r="E40" s="27" t="str">
        <x:v>Instabilidade de conexão Wi-Fi no tablet do caixa</x:v>
      </x:c>
      <x:c r="F40" s="27" t="str">
        <x:v>FICTÍCIO/SIMULADO — conferir os registros disponíveis e efetuar ajuste manual somente após validação</x:v>
      </x:c>
      <x:c r="G40" s="27" t="str">
        <x:v>Paulo Henrique Ribeiro (gerente — simulação)</x:v>
      </x:c>
      <x:c r="H40" s="27" t="str">
        <x:v>FICTÍCIO/SIMULADO</x:v>
      </x:c>
      <x:c r="I40" s="27" t="str">
        <x:v>Ocorrência fictícia para exercício; horários variados e aproximados, sem pretensão de reproduzir registro real.</x:v>
      </x:c>
    </x:row>
    <x:row r="41" ht="54" customHeight="1">
      <x:c r="A41" s="47" t="n">
        <x:v>46093</x:v>
      </x:c>
      <x:c r="B41" s="27" t="str">
        <x:v>quinta-feira</x:v>
      </x:c>
      <x:c r="C41" s="27" t="str">
        <x:v>Saída</x:v>
      </x:c>
      <x:c r="D41" s="27" t="str">
        <x:v>21:32</x:v>
      </x:c>
      <x:c r="E41" s="27" t="str">
        <x:v>Ausência/intermitência de sinal no local de registro</x:v>
      </x:c>
      <x:c r="F41" s="27" t="str">
        <x:v>FICTÍCIO/SIMULADO — conferir os registros disponíveis e efetuar ajuste manual somente após validação</x:v>
      </x:c>
      <x:c r="G41" s="27" t="str">
        <x:v>Paulo Henrique Ribeiro (gerente — simulação)</x:v>
      </x:c>
      <x:c r="H41" s="27" t="str">
        <x:v>FICTÍCIO/SIMULADO</x:v>
      </x:c>
      <x:c r="I41" s="27" t="str">
        <x:v>Ocorrência fictícia para exercício; horários variados e aproximados, sem pretensão de reproduzir registro real.</x:v>
      </x:c>
    </x:row>
    <x:row r="42" ht="54" customHeight="1">
      <x:c r="A42" s="47" t="n">
        <x:v>46105</x:v>
      </x:c>
      <x:c r="B42" s="27" t="str">
        <x:v>terça-feira</x:v>
      </x:c>
      <x:c r="C42" s="27" t="str">
        <x:v>Entrada e saída</x:v>
      </x:c>
      <x:c r="D42" s="27" t="str">
        <x:v>13:00 e 21:38</x:v>
      </x:c>
      <x:c r="E42" s="27" t="str">
        <x:v>Falha de comunicação entre o tablet do caixa e o sistema</x:v>
      </x:c>
      <x:c r="F42" s="27" t="str">
        <x:v>FICTÍCIO/SIMULADO — conferir os registros disponíveis e efetuar ajuste manual somente após validação</x:v>
      </x:c>
      <x:c r="G42" s="27" t="str">
        <x:v>Paulo Henrique Ribeiro (gerente — simulação)</x:v>
      </x:c>
      <x:c r="H42" s="27" t="str">
        <x:v>FICTÍCIO/SIMULADO</x:v>
      </x:c>
      <x:c r="I42" s="27" t="str">
        <x:v>Ocorrência fictícia para exercício; horários variados e aproximados, sem pretensão de reproduzir registro real.</x:v>
      </x:c>
    </x:row>
    <x:row r="43" ht="54" customHeight="1">
      <x:c r="A43" s="47" t="n">
        <x:v>46118</x:v>
      </x:c>
      <x:c r="B43" s="27" t="str">
        <x:v>segunda-feira</x:v>
      </x:c>
      <x:c r="C43" s="27" t="str">
        <x:v>Saída</x:v>
      </x:c>
      <x:c r="D43" s="27" t="str">
        <x:v>21:26</x:v>
      </x:c>
      <x:c r="E43" s="27" t="str">
        <x:v>Ausência/intermitência de sinal no local de registro</x:v>
      </x:c>
      <x:c r="F43" s="27" t="str">
        <x:v>FICTÍCIO/SIMULADO — conferir os registros disponíveis e efetuar ajuste manual somente após validação</x:v>
      </x:c>
      <x:c r="G43" s="27" t="str">
        <x:v>Paulo Henrique Ribeiro (gerente — simulação)</x:v>
      </x:c>
      <x:c r="H43" s="27" t="str">
        <x:v>FICTÍCIO/SIMULADO</x:v>
      </x:c>
      <x:c r="I43" s="27" t="str">
        <x:v>Ocorrência fictícia para exercício; horários variados e aproximados, sem pretensão de reproduzir registro real.</x:v>
      </x:c>
    </x:row>
    <x:row r="44" ht="54" customHeight="1">
      <x:c r="A44" s="47" t="n">
        <x:v>46125</x:v>
      </x:c>
      <x:c r="B44" s="27" t="str">
        <x:v>segunda-feira</x:v>
      </x:c>
      <x:c r="C44" s="27" t="str">
        <x:v>Entrada e saída</x:v>
      </x:c>
      <x:c r="D44" s="27" t="str">
        <x:v>12:57 e 21:26</x:v>
      </x:c>
      <x:c r="E44" s="27" t="str">
        <x:v>Falha de comunicação entre o tablet do caixa e o sistema</x:v>
      </x:c>
      <x:c r="F44" s="27" t="str">
        <x:v>FICTÍCIO/SIMULADO — conferir os registros disponíveis e efetuar ajuste manual somente após validação</x:v>
      </x:c>
      <x:c r="G44" s="27" t="str">
        <x:v>Paulo Henrique Ribeiro (gerente — simulação)</x:v>
      </x:c>
      <x:c r="H44" s="27" t="str">
        <x:v>FICTÍCIO/SIMULADO</x:v>
      </x:c>
      <x:c r="I44" s="27" t="str">
        <x:v>Ocorrência fictícia para exercício; horários variados e aproximados, sem pretensão de reproduzir registro real.</x:v>
      </x:c>
    </x:row>
    <x:row r="45" ht="54" customHeight="1">
      <x:c r="A45" s="47" t="n">
        <x:v>46136</x:v>
      </x:c>
      <x:c r="B45" s="27" t="str">
        <x:v>sexta-feira</x:v>
      </x:c>
      <x:c r="C45" s="27" t="str">
        <x:v>Entrada</x:v>
      </x:c>
      <x:c r="D45" s="27" t="str">
        <x:v>13:06</x:v>
      </x:c>
      <x:c r="E45" s="27" t="str">
        <x:v>Instabilidade de conexão Wi-Fi no tablet do caixa</x:v>
      </x:c>
      <x:c r="F45" s="27" t="str">
        <x:v>FICTÍCIO/SIMULADO — conferir os registros disponíveis e efetuar ajuste manual somente após validação</x:v>
      </x:c>
      <x:c r="G45" s="27" t="str">
        <x:v>Paulo Henrique Ribeiro (gerente — simulação)</x:v>
      </x:c>
      <x:c r="H45" s="27" t="str">
        <x:v>FICTÍCIO/SIMULADO</x:v>
      </x:c>
      <x:c r="I45" s="27" t="str">
        <x:v>Ocorrência fictícia para exercício; horários variados e aproximados, sem pretensão de reproduzir registro real.</x:v>
      </x:c>
    </x:row>
    <x:row r="46" ht="54" customHeight="1">
      <x:c r="A46" s="47" t="n">
        <x:v>46147</x:v>
      </x:c>
      <x:c r="B46" s="27" t="str">
        <x:v>terça-feira</x:v>
      </x:c>
      <x:c r="C46" s="27" t="str">
        <x:v>Entrada e saída</x:v>
      </x:c>
      <x:c r="D46" s="27" t="str">
        <x:v>12:57 e 21:38</x:v>
      </x:c>
      <x:c r="E46" s="27" t="str">
        <x:v>Falha de comunicação entre o tablet do caixa e o sistema</x:v>
      </x:c>
      <x:c r="F46" s="27" t="str">
        <x:v>FICTÍCIO/SIMULADO — conferir os registros disponíveis e efetuar ajuste manual somente após validação</x:v>
      </x:c>
      <x:c r="G46" s="27" t="str">
        <x:v>Paulo Henrique Ribeiro (gerente — simulação)</x:v>
      </x:c>
      <x:c r="H46" s="27" t="str">
        <x:v>FICTÍCIO/SIMULADO</x:v>
      </x:c>
      <x:c r="I46" s="27" t="str">
        <x:v>Ocorrência fictícia para exercício; horários variados e aproximados, sem pretensão de reproduzir registro real.</x:v>
      </x:c>
    </x:row>
    <x:row r="47" ht="54" customHeight="1">
      <x:c r="A47" s="47" t="n">
        <x:v>46154</x:v>
      </x:c>
      <x:c r="B47" s="27" t="str">
        <x:v>terça-feira</x:v>
      </x:c>
      <x:c r="C47" s="27" t="str">
        <x:v>Entrada</x:v>
      </x:c>
      <x:c r="D47" s="27" t="str">
        <x:v>13:00</x:v>
      </x:c>
      <x:c r="E47" s="27" t="str">
        <x:v>Instabilidade de conexão Wi-Fi no tablet do caixa</x:v>
      </x:c>
      <x:c r="F47" s="27" t="str">
        <x:v>FICTÍCIO/SIMULADO — conferir os registros disponíveis e efetuar ajuste manual somente após validação</x:v>
      </x:c>
      <x:c r="G47" s="27" t="str">
        <x:v>Paulo Henrique Ribeiro (gerente — simulação)</x:v>
      </x:c>
      <x:c r="H47" s="27" t="str">
        <x:v>FICTÍCIO/SIMULADO</x:v>
      </x:c>
      <x:c r="I47" s="27" t="str">
        <x:v>Ocorrência fictícia para exercício; horários variados e aproximados, sem pretensão de reproduzir registro real.</x:v>
      </x:c>
    </x:row>
    <x:row r="48" ht="54" customHeight="1">
      <x:c r="A48" s="47" t="n">
        <x:v>46167</x:v>
      </x:c>
      <x:c r="B48" s="27" t="str">
        <x:v>segunda-feira</x:v>
      </x:c>
      <x:c r="C48" s="27" t="str">
        <x:v>Saída</x:v>
      </x:c>
      <x:c r="D48" s="27" t="str">
        <x:v>21:28</x:v>
      </x:c>
      <x:c r="E48" s="27" t="str">
        <x:v>Ausência/intermitência de sinal no local de registro</x:v>
      </x:c>
      <x:c r="F48" s="27" t="str">
        <x:v>FICTÍCIO/SIMULADO — conferir os registros disponíveis e efetuar ajuste manual somente após validação</x:v>
      </x:c>
      <x:c r="G48" s="27" t="str">
        <x:v>Paulo Henrique Ribeiro (gerente — simulação)</x:v>
      </x:c>
      <x:c r="H48" s="27" t="str">
        <x:v>FICTÍCIO/SIMULADO</x:v>
      </x:c>
      <x:c r="I48" s="27" t="str">
        <x:v>Ocorrência fictícia para exercício; horários variados e aproximados, sem pretensão de reproduzir registro real.</x:v>
      </x:c>
    </x:row>
    <x:row r="49" ht="54" customHeight="1">
      <x:c r="A49" s="47" t="n">
        <x:v>46178</x:v>
      </x:c>
      <x:c r="B49" s="27" t="str">
        <x:v>sexta-feira</x:v>
      </x:c>
      <x:c r="C49" s="27" t="str">
        <x:v>Entrada</x:v>
      </x:c>
      <x:c r="D49" s="27" t="str">
        <x:v>12:57</x:v>
      </x:c>
      <x:c r="E49" s="27" t="str">
        <x:v>Instabilidade de conexão Wi-Fi no tablet do caixa</x:v>
      </x:c>
      <x:c r="F49" s="27" t="str">
        <x:v>FICTÍCIO/SIMULADO — conferir os registros disponíveis e efetuar ajuste manual somente após validação</x:v>
      </x:c>
      <x:c r="G49" s="27" t="str">
        <x:v>Paulo Henrique Ribeiro (gerente — simulação)</x:v>
      </x:c>
      <x:c r="H49" s="27" t="str">
        <x:v>FICTÍCIO/SIMULADO</x:v>
      </x:c>
      <x:c r="I49" s="27" t="str">
        <x:v>Ocorrência fictícia para exercício; horários variados e aproximados, sem pretensão de reproduzir registro real.</x:v>
      </x:c>
    </x:row>
    <x:row r="50" ht="54" customHeight="1">
      <x:c r="A50" s="47" t="n">
        <x:v>46185</x:v>
      </x:c>
      <x:c r="B50" s="27" t="str">
        <x:v>sexta-feira</x:v>
      </x:c>
      <x:c r="C50" s="27" t="str">
        <x:v>Saída</x:v>
      </x:c>
      <x:c r="D50" s="27" t="str">
        <x:v>21:22</x:v>
      </x:c>
      <x:c r="E50" s="27" t="str">
        <x:v>Ausência/intermitência de sinal no local de registro</x:v>
      </x:c>
      <x:c r="F50" s="27" t="str">
        <x:v>FICTÍCIO/SIMULADO — conferir os registros disponíveis e efetuar ajuste manual somente após validação</x:v>
      </x:c>
      <x:c r="G50" s="27" t="str">
        <x:v>Paulo Henrique Ribeiro (gerente — simulação)</x:v>
      </x:c>
      <x:c r="H50" s="27" t="str">
        <x:v>FICTÍCIO/SIMULADO</x:v>
      </x:c>
      <x:c r="I50" s="27" t="str">
        <x:v>Ocorrência fictícia para exercício; horários variados e aproximados, sem pretensão de reproduzir registro real. Restaurada da fonte V5 após correção do ano do lançamento de horas extras; não é evidência de saída real.</x:v>
      </x:c>
    </x:row>
    <x:row r="51" ht="54" customHeight="1">
      <x:c r="A51" s="47" t="n">
        <x:v>46197</x:v>
      </x:c>
      <x:c r="B51" s="27" t="str">
        <x:v>quarta-feira</x:v>
      </x:c>
      <x:c r="C51" s="27" t="str">
        <x:v>Entrada e saída</x:v>
      </x:c>
      <x:c r="D51" s="27" t="str">
        <x:v>13:02 e 21:42</x:v>
      </x:c>
      <x:c r="E51" s="27" t="str">
        <x:v>Falha de comunicação entre o tablet do caixa e o sistema</x:v>
      </x:c>
      <x:c r="F51" s="27" t="str">
        <x:v>FICTÍCIO/SIMULADO — conferir os registros disponíveis e efetuar ajuste manual somente após validação</x:v>
      </x:c>
      <x:c r="G51" s="27" t="str">
        <x:v>Paulo Henrique Ribeiro (gerente — simulação)</x:v>
      </x:c>
      <x:c r="H51" s="27" t="str">
        <x:v>FICTÍCIO/SIMULADO</x:v>
      </x:c>
      <x:c r="I51" s="27" t="str">
        <x:v>Ocorrência fictícia para exercício; horários variados e aproximados, sem pretensão de reproduzir registro real.</x:v>
      </x:c>
    </x:row>
    <x:row r="52" ht="54" customHeight="1">
      <x:c r="A52" s="47" t="n">
        <x:v>46209</x:v>
      </x:c>
      <x:c r="B52" s="27" t="str">
        <x:v>segunda-feira</x:v>
      </x:c>
      <x:c r="C52" s="27" t="str">
        <x:v>Saída</x:v>
      </x:c>
      <x:c r="D52" s="27" t="str">
        <x:v>21:28</x:v>
      </x:c>
      <x:c r="E52" s="27" t="str">
        <x:v>Ausência/intermitência de sinal no local de registro</x:v>
      </x:c>
      <x:c r="F52" s="27" t="str">
        <x:v>FICTÍCIO/SIMULADO — conferir os registros disponíveis e efetuar ajuste manual somente após validação</x:v>
      </x:c>
      <x:c r="G52" s="27" t="str">
        <x:v>Paulo Henrique Ribeiro (gerente — simulação)</x:v>
      </x:c>
      <x:c r="H52" s="27" t="str">
        <x:v>FICTÍCIO/SIMULADO</x:v>
      </x:c>
      <x:c r="I52" s="27" t="str">
        <x:v>Ocorrência fictícia para exercício; horários variados e aproximados, sem pretensão de reproduzir registro real.</x:v>
      </x:c>
    </x:row>
    <x:row r="53" ht="54" customHeight="1">
      <x:c r="A53" s="47" t="n">
        <x:v>46216</x:v>
      </x:c>
      <x:c r="B53" s="27" t="str">
        <x:v>segunda-feira</x:v>
      </x:c>
      <x:c r="C53" s="27" t="str">
        <x:v>Entrada e saída</x:v>
      </x:c>
      <x:c r="D53" s="27" t="str">
        <x:v>13:00 e 21:22</x:v>
      </x:c>
      <x:c r="E53" s="27" t="str">
        <x:v>Falha de comunicação entre o tablet do caixa e o sistema</x:v>
      </x:c>
      <x:c r="F53" s="27" t="str">
        <x:v>FICTÍCIO/SIMULADO — conferir os registros disponíveis e efetuar ajuste manual somente após validação</x:v>
      </x:c>
      <x:c r="G53" s="27" t="str">
        <x:v>Paulo Henrique Ribeiro (gerente — simulação)</x:v>
      </x:c>
      <x:c r="H53" s="27" t="str">
        <x:v>FICTÍCIO/SIMULADO</x:v>
      </x:c>
      <x:c r="I53" s="27" t="str">
        <x:v>Ocorrência fictícia para exercício; horários variados e aproximados, sem pretensão de reproduzir registro real.</x:v>
      </x:c>
    </x:row>
    <x:row r="54" ht="54" customHeight="1">
      <x:c r="A54" s="47" t="n">
        <x:v>46227</x:v>
      </x:c>
      <x:c r="B54" s="27" t="str">
        <x:v>sexta-feira</x:v>
      </x:c>
      <x:c r="C54" s="27" t="str">
        <x:v>Entrada</x:v>
      </x:c>
      <x:c r="D54" s="27" t="str">
        <x:v>13:06</x:v>
      </x:c>
      <x:c r="E54" s="27" t="str">
        <x:v>Instabilidade de conexão Wi-Fi no tablet do caixa</x:v>
      </x:c>
      <x:c r="F54" s="27" t="str">
        <x:v>FICTÍCIO/SIMULADO — conferir os registros disponíveis e efetuar ajuste manual somente após validação</x:v>
      </x:c>
      <x:c r="G54" s="27" t="str">
        <x:v>Paulo Henrique Ribeiro (gerente — simulação)</x:v>
      </x:c>
      <x:c r="H54" s="27" t="str">
        <x:v>FICTÍCIO/SIMULADO</x:v>
      </x:c>
      <x:c r="I54" s="27" t="str">
        <x:v>Ocorrência fictícia para exercício; horários variados e aproximados, sem pretensão de reproduzir registro real.</x:v>
      </x:c>
    </x:row>
    <x:row r="55" ht="54" customHeight="1">
      <x:c r="A55" s="47" t="n">
        <x:v>46239</x:v>
      </x:c>
      <x:c r="B55" s="27" t="str">
        <x:v>quarta-feira</x:v>
      </x:c>
      <x:c r="C55" s="27" t="str">
        <x:v>Entrada e saída</x:v>
      </x:c>
      <x:c r="D55" s="27" t="str">
        <x:v>12:55 e 21:28</x:v>
      </x:c>
      <x:c r="E55" s="27" t="str">
        <x:v>Falha de comunicação entre o tablet do caixa e o sistema</x:v>
      </x:c>
      <x:c r="F55" s="27" t="str">
        <x:v>FICTÍCIO/SIMULADO — conferir os registros disponíveis e efetuar ajuste manual somente após validação</x:v>
      </x:c>
      <x:c r="G55" s="27" t="str">
        <x:v>Paulo Henrique Ribeiro (gerente — simulação)</x:v>
      </x:c>
      <x:c r="H55" s="27" t="str">
        <x:v>FICTÍCIO/SIMULADO</x:v>
      </x:c>
      <x:c r="I55" s="27" t="str">
        <x:v>Ocorrência fictícia para exercício; horários variados e aproximados, sem pretensão de reproduzir registro real.</x:v>
      </x:c>
    </x:row>
    <x:row r="56" ht="54" customHeight="1">
      <x:c r="A56" s="47" t="n">
        <x:v>46246</x:v>
      </x:c>
      <x:c r="B56" s="27" t="str">
        <x:v>quarta-feira</x:v>
      </x:c>
      <x:c r="C56" s="27" t="str">
        <x:v>Entrada</x:v>
      </x:c>
      <x:c r="D56" s="27" t="str">
        <x:v>13:01</x:v>
      </x:c>
      <x:c r="E56" s="27" t="str">
        <x:v>Instabilidade de conexão Wi-Fi no tablet do caixa</x:v>
      </x:c>
      <x:c r="F56" s="27" t="str">
        <x:v>FICTÍCIO/SIMULADO — conferir os registros disponíveis e efetuar ajuste manual somente após validação</x:v>
      </x:c>
      <x:c r="G56" s="27" t="str">
        <x:v>Paulo Henrique Ribeiro (gerente — simulação)</x:v>
      </x:c>
      <x:c r="H56" s="27" t="str">
        <x:v>FICTÍCIO/SIMULADO</x:v>
      </x:c>
      <x:c r="I56" s="27" t="str">
        <x:v>Ocorrência fictícia para exercício; horários variados e aproximados, sem pretensão de reproduzir registro real.</x:v>
      </x:c>
    </x:row>
    <x:row r="57" ht="54" customHeight="1">
      <x:c r="A57" s="47" t="n">
        <x:v>46258</x:v>
      </x:c>
      <x:c r="B57" s="27" t="str">
        <x:v>segunda-feira</x:v>
      </x:c>
      <x:c r="C57" s="27" t="str">
        <x:v>Saída</x:v>
      </x:c>
      <x:c r="D57" s="27" t="str">
        <x:v>21:26</x:v>
      </x:c>
      <x:c r="E57" s="27" t="str">
        <x:v>Ausência/intermitência de sinal no local de registro</x:v>
      </x:c>
      <x:c r="F57" s="27" t="str">
        <x:v>FICTÍCIO/SIMULADO — conferir os registros disponíveis e efetuar ajuste manual somente após validação</x:v>
      </x:c>
      <x:c r="G57" s="27" t="str">
        <x:v>Paulo Henrique Ribeiro (gerente — simulação)</x:v>
      </x:c>
      <x:c r="H57" s="27" t="str">
        <x:v>FICTÍCIO/SIMULADO</x:v>
      </x:c>
      <x:c r="I57" s="27" t="str">
        <x:v>Ocorrência fictícia para exercício; horários variados e aproximados, sem pretensão de reproduzir registro real.</x:v>
      </x:c>
    </x:row>
    <x:row r="58" ht="54" customHeight="1">
      <x:c r="A58" s="48"/>
      <x:c r="B58" s="37"/>
      <x:c r="C58" s="37"/>
      <x:c r="D58" s="37"/>
      <x:c r="E58" s="37"/>
      <x:c r="F58" s="37"/>
      <x:c r="G58" s="37"/>
      <x:c r="H58" s="37"/>
      <x:c r="I58" s="37"/>
    </x:row>
    <x:row r="59" ht="54" customHeight="1">
      <x:c r="A59" s="47"/>
      <x:c r="B59" s="27"/>
      <x:c r="C59" s="27"/>
      <x:c r="D59" s="27"/>
      <x:c r="E59" s="27"/>
      <x:c r="F59" s="27"/>
      <x:c r="G59" s="27"/>
      <x:c r="H59" s="27"/>
      <x:c r="I59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49b9a27d35d45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7" hidden="0" customWidth="1"/>
    <x:col min="4" max="4" width="60" hidden="0" customWidth="1"/>
  </x:cols>
  <x:sheetData>
    <x:row r="1" ht="30" customHeight="1">
      <x:c r="A1" s="89" t="str">
        <x:v>DATA DA REVISÃO</x:v>
      </x:c>
      <x:c r="B1" s="89" t="str">
        <x:v>LOCAL</x:v>
      </x:c>
      <x:c r="C1" s="89" t="str">
        <x:v>MODIFICAÇÃO</x:v>
      </x:c>
      <x:c r="D1" s="89" t="str">
        <x:v>JUSTIFICATIVA / ORIGEM</x:v>
      </x:c>
    </x:row>
    <x:row r="2" ht="58" customHeight="1">
      <x:c r="A2" s="93" t="str">
        <x:v>22/10/2026</x:v>
      </x:c>
      <x:c r="B2" s="93" t="str">
        <x:v>Horas extras e saídas • 12/06/2026</x:v>
      </x:c>
      <x:c r="C2" s="93" t="str">
        <x:v>Incluído lançamento de 13h00 / 16h00–17h00 / 22h00. Trabalho efetivo 8h; excedente diário 00h40.</x:v>
      </x:c>
      <x:c r="D2" s="93" t="str">
        <x:v>Dados informados pelo usuário na conversa. Não substitui registros originais de ponto.</x:v>
      </x:c>
    </x:row>
    <x:row r="3" ht="58" customHeight="1">
      <x:c r="A3" s="93" t="str">
        <x:v>22/10/2026</x:v>
      </x:c>
      <x:c r="B3" s="93" t="str">
        <x:v>Falhas de ponto • 12/06/2026</x:v>
      </x:c>
      <x:c r="C3" s="93" t="str">
        <x:v>Excluída ocorrência simulada de falha de saída (21h22) da aba de falhas.</x:v>
      </x:c>
      <x:c r="D3" s="93" t="str">
        <x:v>Usuário informou que houve batida de saída às 22h00; ocorrência anterior era fictícia. Valor antigo preservado neste histórico.</x:v>
      </x:c>
    </x:row>
    <x:row r="4" ht="58" customHeight="1">
      <x:c r="A4" s="93" t="str">
        <x:v>22/10/2026</x:v>
      </x:c>
      <x:c r="B4" s="93" t="str">
        <x:v>Critério de cálculo no site</x:v>
      </x:c>
      <x:c r="C4" s="93" t="str">
        <x:v>Saldo diário calculado por total trabalhado menos jornada prevista, sem limitar à coluna Tempo além.</x:v>
      </x:c>
      <x:c r="D4" s="93" t="str">
        <x:v>Excedentes são automáticos mesmo quando existem ajustes locais; cada lançamento deve manter rastreabilidade.</x:v>
      </x:c>
    </x:row>
    <x:row r="5" ht="44" customHeight="1">
      <x:c r="A5" t="str">
        <x:v>22/10/2026</x:v>
      </x:c>
      <x:c r="B5" t="str">
        <x:v>Correção de ano do lançamento de 22h00</x:v>
      </x:c>
      <x:c r="C5" s="93" t="str">
        <x:v>Transferida a ocorrência de saída às 22h00 de 12/06/2026 para 12/06/2025 (quinta-feira).</x:v>
      </x:c>
      <x:c r="D5" s="93" t="str">
        <x:v>Solicitação expressa do usuário; apenas a data foi corrigida com preservação do histórico anterior.</x:v>
      </x:c>
    </x:row>
    <x:row r="6" ht="44" customHeight="1">
      <x:c r="A6" t="str">
        <x:v>22/10/2026</x:v>
      </x:c>
      <x:c r="B6" t="str">
        <x:v>12/06/2025 • jornada</x:v>
      </x:c>
      <x:c r="C6" s="93" t="str">
        <x:v>Entrada 13h00; intervalo 16h00–17h00; saída 22h00; 08h00 líquido; excedente 00h40.</x:v>
      </x:c>
      <x:c r="D6" s="93" t="str">
        <x:v>Anteriormente: 13h01, intervalo 16h25–17h28, saída 21h20. Conferência anterior: 21h04–21h16. Informação atual fornecida pelo usuário, requer comprovante original.</x:v>
      </x:c>
    </x:row>
    <x:row r="7" ht="44" customHeight="1">
      <x:c r="A7" t="str">
        <x:v>22/10/2026</x:v>
      </x:c>
      <x:c r="B7" t="str">
        <x:v>12/06/2026 • jornada</x:v>
      </x:c>
      <x:c r="C7" s="93" t="str">
        <x:v>Desfeita inclusão da jornada das 13h00 às 22h00 (V6).</x:v>
      </x:c>
      <x:c r="D7" s="93" t="str">
        <x:v>A data correta informada foi 12/06/2025; 12/06/2026 volta a ser dia sem marcação real conhecida no espelho.</x:v>
      </x:c>
    </x:row>
    <x:row r="8" ht="44" customHeight="1">
      <x:c r="A8" t="str">
        <x:v>22/10/2026</x:v>
      </x:c>
      <x:c r="B8" t="str">
        <x:v>12/06/2026 • falha</x:v>
      </x:c>
      <x:c r="C8" s="93" t="str">
        <x:v>Restaurada ocorrência fictícia anterior (saída prevista 21h22).</x:v>
      </x:c>
      <x:c r="D8" s="93" t="str">
        <x:v>Fonte V5. É ocorrência ilustrativa, não batida comprovada nem horas extras.</x:v>
      </x:c>
    </x:row>
    <x:row r="9" ht="44" customHeight="1">
      <x:c r="A9" t="str">
        <x:v>22/10/2026</x:v>
      </x:c>
      <x:c r="B9" t="str">
        <x:v>12/06/2025 • falha</x:v>
      </x:c>
      <x:c r="C9" s="93" t="str">
        <x:v>Retirada da lista ativa ocorrência fictícia anterior (saída prevista 21h42).</x:v>
      </x:c>
      <x:c r="D9" s="93" t="str">
        <x:v>Não corresponde à batida de 22h00 informada; registro histórico anterior preservado nesta aba.</x:v>
      </x:c>
    </x:row>
    <x:row r="10" ht="44" customHeight="1">
      <x:c r="A10" t="str">
        <x:v>22/10/2026</x:v>
      </x:c>
      <x:c r="B10" t="str">
        <x:v>Súmula 338, III • TST</x:v>
      </x:c>
      <x:c r="C10" s="93" t="str">
        <x:v>Não foram alterados horários para introduzir variações artificiais. Escalas projetadas ficam distintas dos registros; ajustes requerem motivo e trilha de auditoria.</x:v>
      </x:c>
      <x:c r="D10" s="93" t="str">
        <x:v>www.tst.jus.br e art. 74, § 2º, CLT. Material demonstrativo não é comprovante eletrônico homologado.</x:v>
      </x:c>
    </x:row>
    <x:row r="11">
      <x:c r="A11" t="str">
        <x:v>22/10/2026</x:v>
      </x:c>
      <x:c r="B11" t="str">
        <x:v>Falhas de ponto • 15/08/2026</x:v>
      </x:c>
      <x:c r="C11" t="str">
        <x:v>Retirada da lista ativa a ocorrência conflitante de saída 21h20. Mantida saída 16h56 (conferência de caixa 16h42–16h54), por orientação do usuário.</x:v>
      </x:c>
      <x:c r="D11" t="str">
        <x:v>Valor anterior: 21h20 no exemplo de falha Wi-Fi; não constitui comprovante.</x:v>
      </x:c>
    </x:row>
    <x:row r="12">
      <x:c r="A12" s="93" t="str">
        <x:v>23/10/2026</x:v>
      </x:c>
      <x:c r="B12" s="93" t="str">
        <x:v>Espelho completo • 14/06/2025</x:v>
      </x:c>
      <x:c r="C12" s="93" t="str">
        <x:v>Substituída jornada simulada de sábado por atestado; 4h abonadas; sem batidas.</x:v>
      </x:c>
      <x:c r="D12" s="93" t="str">
        <x:v>Imagem de atestado fictício fornecida na conversa; registro anterior arquivado na planilha V9.</x:v>
      </x:c>
    </x:row>
    <x:row r="13">
      <x:c r="A13" s="93" t="str">
        <x:v>23/10/2026</x:v>
      </x:c>
      <x:c r="B13" s="93" t="str">
        <x:v>Espelho completo • 15/06/2025</x:v>
      </x:c>
      <x:c r="C13" s="93" t="str">
        <x:v>Domingo abrangido pelo atestado; mantido DSR, sem abono adicional.</x:v>
      </x:c>
      <x:c r="D13" s="93" t="str">
        <x:v>Não havia expediente previsto.</x:v>
      </x:c>
    </x:row>
    <x:row r="14">
      <x:c r="A14" s="93" t="str">
        <x:v>23/10/2026</x:v>
      </x:c>
      <x:c r="B14" s="93" t="str">
        <x:v>Espelho completo • 16/06/2025</x:v>
      </x:c>
      <x:c r="C14" s="93" t="str">
        <x:v>Substituída jornada ilustrativa por afastamento; 8h abonadas, sem trabalho/extra/atraso.</x:v>
      </x:c>
      <x:c r="D14" s="93" t="str">
        <x:v>8h conforme critério informado; jornada contratual diária no espelho permanece 7h20 líquidas.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49" hidden="0" customWidth="1"/>
    <x:col min="4" max="4" width="19" hidden="0" customWidth="1"/>
  </x:cols>
  <x:sheetData>
    <x:row r="1" ht="30" customHeight="1">
      <x:c r="A1" s="100" t="str">
        <x:v>CONTROLE DE JORNADA — INTEGRIDADE E ORIGEM</x:v>
      </x:c>
      <x:c r="B1" s="100" t="str"/>
      <x:c r="C1" s="100" t="str"/>
      <x:c r="D1" s="100" t="str"/>
    </x:row>
    <x:row r="2">
      <x:c r="A2" s="93" t="str">
        <x:v>Ponto britânico: entradas e saídas uniformes podem prejudicar o valor probatório. Não alterar horários para criar aparente variabilidade.</x:v>
      </x:c>
      <x:c r="B2" s="93" t="str"/>
      <x:c r="C2" s="93" t="str"/>
      <x:c r="D2" s="93" t="str"/>
    </x:row>
    <x:row r="3">
      <x:c r="A3" s="93"/>
      <x:c r="B3" s="93"/>
      <x:c r="C3" s="93"/>
      <x:c r="D3" s="93"/>
    </x:row>
    <x:row r="4" ht="24" customHeight="1">
      <x:c r="A4" s="103" t="str">
        <x:v>Critério</x:v>
      </x:c>
      <x:c r="B4" s="103" t="str">
        <x:v>Comportamento no site</x:v>
      </x:c>
      <x:c r="C4" s="103" t="str">
        <x:v>Fonte</x:v>
      </x:c>
      <x:c r="D4" s="103" t="str">
        <x:v>Status</x:v>
      </x:c>
    </x:row>
    <x:row r="5" ht="36" customHeight="1">
      <x:c r="A5" s="93" t="str">
        <x:v>Registro informado</x:v>
      </x:c>
      <x:c r="B5" s="93" t="str">
        <x:v>Preservar hora exata informada; não gerar variação aleatória</x:v>
      </x:c>
      <x:c r="C5" s="93" t="str">
        <x:v>Planilha revisada / ajuste com responsável</x:v>
      </x:c>
      <x:c r="D5" s="93" t="str">
        <x:v>Aplicado</x:v>
      </x:c>
    </x:row>
    <x:row r="6" ht="36" customHeight="1">
      <x:c r="A6" s="93" t="str">
        <x:v>Dia sem registro</x:v>
      </x:c>
      <x:c r="B6" s="93" t="str">
        <x:v>Exibir somente a escala prevista como planejamento, sem tratá-la como batida real</x:v>
      </x:c>
      <x:c r="C6" s="93" t="str">
        <x:v>Escala contratual</x:v>
      </x:c>
      <x:c r="D6" s="93" t="str">
        <x:v>Aplicado</x:v>
      </x:c>
    </x:row>
    <x:row r="7" ht="36" customHeight="1">
      <x:c r="A7" s="93" t="str">
        <x:v>Alterações de horários</x:v>
      </x:c>
      <x:c r="B7" s="93" t="str">
        <x:v>Exibir Ponto Ajustado em laranja e motivo; gravar alteração na auditoria</x:v>
      </x:c>
      <x:c r="C7" s="93" t="str">
        <x:v>Ajuste gerencial</x:v>
      </x:c>
      <x:c r="D7" s="93" t="str">
        <x:v>Aplicado</x:v>
      </x:c>
    </x:row>
    <x:row r="8" ht="36" customHeight="1">
      <x:c r="A8" s="93" t="str">
        <x:v>Data 12/06/2025</x:v>
      </x:c>
      <x:c r="B8" s="93" t="str">
        <x:v>Saída 22h00; 8h00 trabalhadas; 00h40 saldo positivo (pendente de comprovante)</x:v>
      </x:c>
      <x:c r="C8" s="93" t="str">
        <x:v>Informação do usuário</x:v>
      </x:c>
      <x:c r="D8" s="93" t="str">
        <x:v>Retificado</x:v>
      </x:c>
    </x:row>
    <x:row r="9" ht="36" customHeight="1">
      <x:c r="A9" s="93" t="str">
        <x:v>Data 12/06/2026</x:v>
      </x:c>
      <x:c r="B9" s="93" t="str">
        <x:v>Desfeita jornada das 22h00 lançada por engano</x:v>
      </x:c>
      <x:c r="C9" s="93" t="str">
        <x:v>Correção do usuário</x:v>
      </x:c>
      <x:c r="D9" s="93" t="str">
        <x:v>Restaurado</x:v>
      </x:c>
    </x:row>
    <x:row r="10" ht="36" customHeight="1">
      <x:c r="A10" s="93" t="str">
        <x:v>15/08/2026</x:v>
      </x:c>
      <x:c r="B10" s="93" t="str">
        <x:v>Referência conflitante 21h20 retirada da lista ativa; saída 16h56 mantida</x:v>
      </x:c>
      <x:c r="C10" s="93" t="str">
        <x:v>Histórico das alterações — revisão em 22/10/2026</x:v>
      </x:c>
      <x:c r="D10" s="93" t="str">
        <x:v>Retificada na simulação</x:v>
      </x:c>
    </x:row>
    <x:row r="11" ht="36" customHeight="1">
      <x:c r="A11" s="93" t="str">
        <x:v>Referência legal</x:v>
      </x:c>
      <x:c r="B11" s="93" t="str">
        <x:v>Súmula 338, III, TST e art. 74, § 2º, CLT</x:v>
      </x:c>
      <x:c r="C11" s="93" t="str">
        <x:v>https://www.tst.jus.br/ | https://www.planalto.gov.br/</x:v>
      </x:c>
      <x:c r="D11" s="93" t="str">
        <x:v>Orientação</x:v>
      </x:c>
    </x:row>
    <x:row r="12" ht="36" customHeight="1">
      <x:c r="A12" s="93" t="str">
        <x:v>Integridade de origem</x:v>
      </x:c>
      <x:c r="B12" s="93" t="str">
        <x:v>Este arquivo contém exemplos/simulações; não é comprovante de ponto real</x:v>
      </x:c>
      <x:c r="C12" s="93" t="str">
        <x:v>Histórico e planilhas anteriores</x:v>
      </x:c>
      <x:c r="D12" s="93" t="str">
        <x:v>Informativo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16" max="16" width="46" hidden="0" customWidth="1"/>
    <x:col min="17" max="17" width="74" hidden="0" customWidth="1"/>
    <x:col min="18" max="18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9" max="19" width="15" hidden="0" customWidth="1"/>
    <x:col min="20" max="20" width="20" hidden="0" customWidth="1"/>
    <x:col min="21" max="21" width="31" hidden="0" customWidth="1"/>
    <x:col min="22" max="22" width="53" hidden="0" customWidth="1"/>
    <x:col min="23" max="23" width="20" hidden="0" customWidth="1"/>
  </x:cols>
  <x:sheetData>
    <x:row r="1" ht="32" customHeight="1">
      <x:c r="A1" s="105" t="str">
        <x:v>MARINA • ESPELHO COMPLETO DA SIMULAÇÃO | 03/2025–08/2026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</x:row>
    <x:row r="2" ht="38" customHeight="1">
      <x:c r="A2" s="108" t="str">
        <x:v>ATENÇÃO: 425 datas possuem saída transcrita da conferência e entrada/intervalo COMPLETADOS ILUSTRATIVAMENTE. Não são batidas reais nem comprovantes de jornada. As 44 jornadas individualizadas foram preservadas.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  <x:c r="N2" s="108"/>
      <x:c r="O2" s="108"/>
      <x:c r="P2" s="108"/>
      <x:c r="Q2" s="108"/>
      <x:c r="R2" s="108"/>
    </x:row>
    <x:row r="3" ht="33" customHeight="1">
      <x:c r="A3" s="111" t="str">
        <x:v>Cálculo automático: horas efetivas = saída − entrada − intervalo. Saldo diário = trabalhado − previsto. Horas extras positivas e negativas são separadas; domingos/DSR não entram como dias trabalhados.</x:v>
      </x:c>
      <x:c r="B3" s="111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</x:row>
    <x:row r="4" ht="29" customHeight="1">
      <x:c r="A4" s="113" t="str">
        <x:v>Data</x:v>
      </x:c>
      <x:c r="B4" s="113" t="str">
        <x:v>Dia</x:v>
      </x:c>
      <x:c r="C4" s="113" t="str">
        <x:v>Entrada</x:v>
      </x:c>
      <x:c r="D4" s="113" t="str">
        <x:v>Início Int.</x:v>
      </x:c>
      <x:c r="E4" s="113" t="str">
        <x:v>Fim Int.</x:v>
      </x:c>
      <x:c r="F4" s="113" t="str">
        <x:v>Saída</x:v>
      </x:c>
      <x:c r="G4" s="113" t="str">
        <x:v>Total Trab.</x:v>
      </x:c>
      <x:c r="H4" s="113" t="str">
        <x:v>Jornada prevista</x:v>
      </x:c>
      <x:c r="I4" s="113" t="str">
        <x:v>Saldo (Extra)</x:v>
      </x:c>
      <x:c r="J4" s="113" t="str">
        <x:v>Atrasos</x:v>
      </x:c>
      <x:c r="K4" s="113" t="str">
        <x:v>Trabalhado (min)</x:v>
      </x:c>
      <x:c r="L4" s="113" t="str">
        <x:v>Previsto (min)</x:v>
      </x:c>
      <x:c r="M4" s="113" t="str">
        <x:v>Saldo (min)</x:v>
      </x:c>
      <x:c r="N4" s="113" t="str">
        <x:v>Extras (min)</x:v>
      </x:c>
      <x:c r="O4" s="113" t="str">
        <x:v>Negativo (min)</x:v>
      </x:c>
      <x:c r="P4" s="113" t="str">
        <x:v>Ocorrência / Status</x:v>
      </x:c>
      <x:c r="Q4" s="113" t="str">
        <x:v>Origem dos horários</x:v>
      </x:c>
      <x:c r="R4" s="113" t="str">
        <x:v>Competência</x:v>
      </x:c>
      <x:c r="S4" s="122" t="str">
        <x:v>Abono (min)</x:v>
      </x:c>
      <x:c r="T4" s="122" t="str">
        <x:v>Horas justificadas</x:v>
      </x:c>
      <x:c r="U4" s="122" t="str">
        <x:v>Escala prevista (atest.)</x:v>
      </x:c>
      <x:c r="V4" s="122" t="str">
        <x:v>Fonte/justificativa</x:v>
      </x:c>
      <x:c r="W4" s="121" t="str">
        <x:v>Dia abonado (1/0)</x:v>
      </x:c>
    </x:row>
    <x:row r="5" ht="21" customHeight="1">
      <x:c r="A5" s="83" t="n">
        <x:v>45719</x:v>
      </x:c>
      <x:c r="B5" t="str">
        <x:v>segunda-feira</x:v>
      </x:c>
      <x:c r="C5" s="85" t="n">
        <x:v>0.5395833333333333</x:v>
      </x:c>
      <x:c r="D5" s="85" t="n">
        <x:v>0.6673611111111111</x:v>
      </x:c>
      <x:c r="E5" s="85" t="n">
        <x:v>0.7104166666666667</x:v>
      </x:c>
      <x:c r="F5" s="85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  <x:c r="S5" t="n">
        <x:v>0</x:v>
      </x:c>
      <x:c r="T5" t="str">
        <x:f>TEXT(INT(S5/60),"00")&amp;":"&amp;TEXT(MOD(S5,60),"00")</x:f>
        <x:v>00:00</x:v>
      </x:c>
      <x:c r="W5" t="n">
        <x:f>IF(S5&gt;0,1,0)</x:f>
        <x:v>0</x:v>
      </x:c>
    </x:row>
    <x:row r="6" ht="21" customHeight="1">
      <x:c r="A6" s="83" t="n">
        <x:v>45720</x:v>
      </x:c>
      <x:c r="B6" t="str">
        <x:v>terça-feira</x:v>
      </x:c>
      <x:c r="C6" s="85" t="n">
        <x:v>0.5458333333333333</x:v>
      </x:c>
      <x:c r="D6" s="85" t="n">
        <x:v>0.6722222222222223</x:v>
      </x:c>
      <x:c r="E6" s="85" t="n">
        <x:v>0.7138888888888889</x:v>
      </x:c>
      <x:c r="F6" s="85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  <x:c r="S6" t="n">
        <x:v>0</x:v>
      </x:c>
      <x:c r="T6" t="str">
        <x:f>TEXT(INT(S6/60),"00")&amp;":"&amp;TEXT(MOD(S6,60),"00")</x:f>
        <x:v>00:00</x:v>
      </x:c>
      <x:c r="W6" t="n">
        <x:f>IF(S6&gt;0,1,0)</x:f>
        <x:v>0</x:v>
      </x:c>
    </x:row>
    <x:row r="7" ht="21" customHeight="1">
      <x:c r="A7" s="83" t="n">
        <x:v>45721</x:v>
      </x:c>
      <x:c r="B7" t="str">
        <x:v>quarta-feira</x:v>
      </x:c>
      <x:c r="C7" s="85" t="n">
        <x:v>0.5381944444444444</x:v>
      </x:c>
      <x:c r="D7" s="85" t="n">
        <x:v>0.66875</x:v>
      </x:c>
      <x:c r="E7" s="85" t="n">
        <x:v>0.7083333333333334</x:v>
      </x:c>
      <x:c r="F7" s="85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  <x:c r="S7" t="n">
        <x:v>0</x:v>
      </x:c>
      <x:c r="T7" t="str">
        <x:f>TEXT(INT(S7/60),"00")&amp;":"&amp;TEXT(MOD(S7,60),"00")</x:f>
        <x:v>00:00</x:v>
      </x:c>
      <x:c r="W7" t="n">
        <x:f>IF(S7&gt;0,1,0)</x:f>
        <x:v>0</x:v>
      </x:c>
    </x:row>
    <x:row r="8" ht="21" customHeight="1">
      <x:c r="A8" s="83" t="n">
        <x:v>45722</x:v>
      </x:c>
      <x:c r="B8" t="str">
        <x:v>quinta-feira</x:v>
      </x:c>
      <x:c r="C8" s="85" t="n">
        <x:v>0.5451388888888888</x:v>
      </x:c>
      <x:c r="D8" s="85" t="n">
        <x:v>0.6777777777777778</x:v>
      </x:c>
      <x:c r="E8" s="85" t="n">
        <x:v>0.7180555555555556</x:v>
      </x:c>
      <x:c r="F8" s="85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  <x:c r="S8" t="n">
        <x:v>0</x:v>
      </x:c>
      <x:c r="T8" t="str">
        <x:f>TEXT(INT(S8/60),"00")&amp;":"&amp;TEXT(MOD(S8,60),"00")</x:f>
        <x:v>00:00</x:v>
      </x:c>
      <x:c r="W8" t="n">
        <x:f>IF(S8&gt;0,1,0)</x:f>
        <x:v>0</x:v>
      </x:c>
    </x:row>
    <x:row r="9" ht="21" customHeight="1">
      <x:c r="A9" s="83" t="n">
        <x:v>45723</x:v>
      </x:c>
      <x:c r="B9" t="str">
        <x:v>sexta-feira</x:v>
      </x:c>
      <x:c r="C9" s="85" t="n">
        <x:v>0.5409722222222222</x:v>
      </x:c>
      <x:c r="D9" s="85" t="n">
        <x:v>0.6756944444444445</x:v>
      </x:c>
      <x:c r="E9" s="85" t="n">
        <x:v>0.7173611111111111</x:v>
      </x:c>
      <x:c r="F9" s="85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  <x:c r="S9" t="n">
        <x:v>0</x:v>
      </x:c>
      <x:c r="T9" t="str">
        <x:f>TEXT(INT(S9/60),"00")&amp;":"&amp;TEXT(MOD(S9,60),"00")</x:f>
        <x:v>00:00</x:v>
      </x:c>
      <x:c r="W9" t="n">
        <x:f>IF(S9&gt;0,1,0)</x:f>
        <x:v>0</x:v>
      </x:c>
    </x:row>
    <x:row r="10" ht="21" customHeight="1">
      <x:c r="A10" s="83" t="n">
        <x:v>45724</x:v>
      </x:c>
      <x:c r="B10" t="str">
        <x:v>sábado</x:v>
      </x:c>
      <x:c r="C10" s="85" t="n">
        <x:v>0.5423611111111111</x:v>
      </x:c>
      <x:c r="D10" s="85"/>
      <x:c r="E10" s="85"/>
      <x:c r="F10" s="85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  <x:c r="S10" t="n">
        <x:v>0</x:v>
      </x:c>
      <x:c r="T10" t="str">
        <x:f>TEXT(INT(S10/60),"00")&amp;":"&amp;TEXT(MOD(S10,60),"00")</x:f>
        <x:v>00:00</x:v>
      </x:c>
      <x:c r="W10" t="n">
        <x:f>IF(S10&gt;0,1,0)</x:f>
        <x:v>0</x:v>
      </x:c>
    </x:row>
    <x:row r="11" ht="21" customHeight="1">
      <x:c r="A11" s="83" t="n">
        <x:v>45726</x:v>
      </x:c>
      <x:c r="B11" t="str">
        <x:v>segunda-feira</x:v>
      </x:c>
      <x:c r="C11" s="85" t="n">
        <x:v>0.5444444444444444</x:v>
      </x:c>
      <x:c r="D11" s="85" t="n">
        <x:v>0.6715277777777777</x:v>
      </x:c>
      <x:c r="E11" s="85" t="n">
        <x:v>0.7104166666666667</x:v>
      </x:c>
      <x:c r="F11" s="85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  <x:c r="S11" t="n">
        <x:v>0</x:v>
      </x:c>
      <x:c r="T11" t="str">
        <x:f>TEXT(INT(S11/60),"00")&amp;":"&amp;TEXT(MOD(S11,60),"00")</x:f>
        <x:v>00:00</x:v>
      </x:c>
      <x:c r="W11" t="n">
        <x:f>IF(S11&gt;0,1,0)</x:f>
        <x:v>0</x:v>
      </x:c>
    </x:row>
    <x:row r="12" ht="21" customHeight="1">
      <x:c r="A12" s="83" t="n">
        <x:v>45727</x:v>
      </x:c>
      <x:c r="B12" t="str">
        <x:v>terça-feira</x:v>
      </x:c>
      <x:c r="C12" s="85" t="n">
        <x:v>0.5381944444444444</x:v>
      </x:c>
      <x:c r="D12" s="85" t="n">
        <x:v>0.6722222222222223</x:v>
      </x:c>
      <x:c r="E12" s="85" t="n">
        <x:v>0.7138888888888889</x:v>
      </x:c>
      <x:c r="F12" s="85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  <x:c r="S12" t="n">
        <x:v>0</x:v>
      </x:c>
      <x:c r="T12" t="str">
        <x:f>TEXT(INT(S12/60),"00")&amp;":"&amp;TEXT(MOD(S12,60),"00")</x:f>
        <x:v>00:00</x:v>
      </x:c>
      <x:c r="W12" t="n">
        <x:f>IF(S12&gt;0,1,0)</x:f>
        <x:v>0</x:v>
      </x:c>
    </x:row>
    <x:row r="13" ht="21" customHeight="1">
      <x:c r="A13" s="83" t="n">
        <x:v>45728</x:v>
      </x:c>
      <x:c r="B13" t="str">
        <x:v>quarta-feira</x:v>
      </x:c>
      <x:c r="C13" s="85" t="n">
        <x:v>0.54375</x:v>
      </x:c>
      <x:c r="D13" s="85" t="n">
        <x:v>0.6715277777777777</x:v>
      </x:c>
      <x:c r="E13" s="85" t="n">
        <x:v>0.7104166666666667</x:v>
      </x:c>
      <x:c r="F13" s="85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  <x:c r="S13" t="n">
        <x:v>0</x:v>
      </x:c>
      <x:c r="T13" t="str">
        <x:f>TEXT(INT(S13/60),"00")&amp;":"&amp;TEXT(MOD(S13,60),"00")</x:f>
        <x:v>00:00</x:v>
      </x:c>
      <x:c r="W13" t="n">
        <x:f>IF(S13&gt;0,1,0)</x:f>
        <x:v>0</x:v>
      </x:c>
    </x:row>
    <x:row r="14" ht="21" customHeight="1">
      <x:c r="A14" s="83" t="n">
        <x:v>45729</x:v>
      </x:c>
      <x:c r="B14" t="str">
        <x:v>quinta-feira</x:v>
      </x:c>
      <x:c r="C14" s="85" t="n">
        <x:v>0.5395833333333333</x:v>
      </x:c>
      <x:c r="D14" s="85" t="n">
        <x:v>0.6840277777777778</x:v>
      </x:c>
      <x:c r="E14" s="85" t="n">
        <x:v>0.7256944444444444</x:v>
      </x:c>
      <x:c r="F14" s="85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  <x:c r="S14" t="n">
        <x:v>0</x:v>
      </x:c>
      <x:c r="T14" t="str">
        <x:f>TEXT(INT(S14/60),"00")&amp;":"&amp;TEXT(MOD(S14,60),"00")</x:f>
        <x:v>00:00</x:v>
      </x:c>
      <x:c r="W14" t="n">
        <x:f>IF(S14&gt;0,1,0)</x:f>
        <x:v>0</x:v>
      </x:c>
    </x:row>
    <x:row r="15" ht="21" customHeight="1">
      <x:c r="A15" s="83" t="n">
        <x:v>45730</x:v>
      </x:c>
      <x:c r="B15" t="str">
        <x:v>sexta-feira</x:v>
      </x:c>
      <x:c r="C15" s="85" t="n">
        <x:v>0.5375</x:v>
      </x:c>
      <x:c r="D15" s="85" t="n">
        <x:v>0.6715277777777777</x:v>
      </x:c>
      <x:c r="E15" s="85" t="n">
        <x:v>0.7131944444444445</x:v>
      </x:c>
      <x:c r="F15" s="85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  <x:c r="S15" t="n">
        <x:v>0</x:v>
      </x:c>
      <x:c r="T15" t="str">
        <x:f>TEXT(INT(S15/60),"00")&amp;":"&amp;TEXT(MOD(S15,60),"00")</x:f>
        <x:v>00:00</x:v>
      </x:c>
      <x:c r="W15" t="n">
        <x:f>IF(S15&gt;0,1,0)</x:f>
        <x:v>0</x:v>
      </x:c>
    </x:row>
    <x:row r="16" ht="21" customHeight="1">
      <x:c r="A16" s="83" t="n">
        <x:v>45731</x:v>
      </x:c>
      <x:c r="B16" t="str">
        <x:v>sábado</x:v>
      </x:c>
      <x:c r="C16" s="85" t="n">
        <x:v>0.5451388888888888</x:v>
      </x:c>
      <x:c r="D16" s="85" t="n">
        <x:v>0.6458333333333334</x:v>
      </x:c>
      <x:c r="E16" s="85" t="n">
        <x:v>0.6875</x:v>
      </x:c>
      <x:c r="F16" s="85" t="n">
        <x:v>0.9138888888888889</x:v>
      </x:c>
      <x:c r="G16" t="str">
        <x:f>TEXT(INT(K16/60),"00")&amp;":"&amp;TEXT(MOD(K16,60),"00")</x:f>
        <x:v>07:51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+03:51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471</x:v>
      </x:c>
      <x:c r="L16" t="n">
        <x:v>240</x:v>
      </x:c>
      <x:c r="M16" t="n">
        <x:f>K16-L16</x:f>
        <x:v>231</x:v>
      </x:c>
      <x:c r="N16" t="n">
        <x:f>MAX(0,M16)</x:f>
        <x:v>231</x:v>
      </x:c>
      <x:c r="O16" t="n">
        <x:f>MAX(0,-M16)</x:f>
        <x:v>0</x:v>
      </x:c>
      <x:c r="P16" t="str">
        <x:v>Ponto registrado — jornada revisada</x:v>
      </x:c>
      <x:c r="Q16" t="str">
        <x:v>Horários da planilha de jornadas revisada</x:v>
      </x:c>
      <x:c r="R16" t="str">
        <x:v>2025-03</x:v>
      </x:c>
      <x:c r="S16" t="n">
        <x:v>0</x:v>
      </x:c>
      <x:c r="T16" t="str">
        <x:f>TEXT(INT(S16/60),"00")&amp;":"&amp;TEXT(MOD(S16,60),"00")</x:f>
        <x:v>00:00</x:v>
      </x:c>
      <x:c r="W16" t="n">
        <x:f>IF(S16&gt;0,1,0)</x:f>
        <x:v>0</x:v>
      </x:c>
    </x:row>
    <x:row r="17" ht="21" customHeight="1">
      <x:c r="A17" s="83" t="n">
        <x:v>45733</x:v>
      </x:c>
      <x:c r="B17" t="str">
        <x:v>segunda-feira</x:v>
      </x:c>
      <x:c r="C17" s="85" t="n">
        <x:v>0.5402777777777777</x:v>
      </x:c>
      <x:c r="D17" s="85" t="n">
        <x:v>0.6784722222222223</x:v>
      </x:c>
      <x:c r="E17" s="85" t="n">
        <x:v>0.7215277777777778</x:v>
      </x:c>
      <x:c r="F17" s="85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  <x:c r="S17" t="n">
        <x:v>0</x:v>
      </x:c>
      <x:c r="T17" t="str">
        <x:f>TEXT(INT(S17/60),"00")&amp;":"&amp;TEXT(MOD(S17,60),"00")</x:f>
        <x:v>00:00</x:v>
      </x:c>
      <x:c r="W17" t="n">
        <x:f>IF(S17&gt;0,1,0)</x:f>
        <x:v>0</x:v>
      </x:c>
    </x:row>
    <x:row r="18" ht="21" customHeight="1">
      <x:c r="A18" s="83" t="n">
        <x:v>45734</x:v>
      </x:c>
      <x:c r="B18" t="str">
        <x:v>terça-feira</x:v>
      </x:c>
      <x:c r="C18" s="85" t="n">
        <x:v>0.5409722222222222</x:v>
      </x:c>
      <x:c r="D18" s="85" t="n">
        <x:v>0.6791666666666667</x:v>
      </x:c>
      <x:c r="E18" s="85" t="n">
        <x:v>0.7229166666666667</x:v>
      </x:c>
      <x:c r="F18" s="85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  <x:c r="S18" t="n">
        <x:v>0</x:v>
      </x:c>
      <x:c r="T18" t="str">
        <x:f>TEXT(INT(S18/60),"00")&amp;":"&amp;TEXT(MOD(S18,60),"00")</x:f>
        <x:v>00:00</x:v>
      </x:c>
      <x:c r="W18" t="n">
        <x:f>IF(S18&gt;0,1,0)</x:f>
        <x:v>0</x:v>
      </x:c>
    </x:row>
    <x:row r="19" ht="21" customHeight="1">
      <x:c r="A19" s="83" t="n">
        <x:v>45735</x:v>
      </x:c>
      <x:c r="B19" t="str">
        <x:v>quarta-feira</x:v>
      </x:c>
      <x:c r="C19" s="85" t="n">
        <x:v>0.5430555555555555</x:v>
      </x:c>
      <x:c r="D19" s="85" t="n">
        <x:v>0.6666666666666666</x:v>
      </x:c>
      <x:c r="E19" s="85" t="n">
        <x:v>0.7090277777777778</x:v>
      </x:c>
      <x:c r="F19" s="85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  <x:c r="S19" t="n">
        <x:v>0</x:v>
      </x:c>
      <x:c r="T19" t="str">
        <x:f>TEXT(INT(S19/60),"00")&amp;":"&amp;TEXT(MOD(S19,60),"00")</x:f>
        <x:v>00:00</x:v>
      </x:c>
      <x:c r="W19" t="n">
        <x:f>IF(S19&gt;0,1,0)</x:f>
        <x:v>0</x:v>
      </x:c>
    </x:row>
    <x:row r="20" ht="21" customHeight="1">
      <x:c r="A20" s="83" t="n">
        <x:v>45736</x:v>
      </x:c>
      <x:c r="B20" t="str">
        <x:v>quinta-feira</x:v>
      </x:c>
      <x:c r="C20" s="85" t="n">
        <x:v>0.54375</x:v>
      </x:c>
      <x:c r="D20" s="85" t="n">
        <x:v>0.6840277777777778</x:v>
      </x:c>
      <x:c r="E20" s="85" t="n">
        <x:v>0.7222222222222222</x:v>
      </x:c>
      <x:c r="F20" s="85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  <x:c r="S20" t="n">
        <x:v>0</x:v>
      </x:c>
      <x:c r="T20" t="str">
        <x:f>TEXT(INT(S20/60),"00")&amp;":"&amp;TEXT(MOD(S20,60),"00")</x:f>
        <x:v>00:00</x:v>
      </x:c>
      <x:c r="W20" t="n">
        <x:f>IF(S20&gt;0,1,0)</x:f>
        <x:v>0</x:v>
      </x:c>
    </x:row>
    <x:row r="21" ht="21" customHeight="1">
      <x:c r="A21" s="83" t="n">
        <x:v>45737</x:v>
      </x:c>
      <x:c r="B21" t="str">
        <x:v>sexta-feira</x:v>
      </x:c>
      <x:c r="C21" s="85" t="n">
        <x:v>0.5395833333333333</x:v>
      </x:c>
      <x:c r="D21" s="85" t="n">
        <x:v>0.6743055555555556</x:v>
      </x:c>
      <x:c r="E21" s="85" t="n">
        <x:v>0.71875</x:v>
      </x:c>
      <x:c r="F21" s="85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  <x:c r="S21" t="n">
        <x:v>0</x:v>
      </x:c>
      <x:c r="T21" t="str">
        <x:f>TEXT(INT(S21/60),"00")&amp;":"&amp;TEXT(MOD(S21,60),"00")</x:f>
        <x:v>00:00</x:v>
      </x:c>
      <x:c r="W21" t="n">
        <x:f>IF(S21&gt;0,1,0)</x:f>
        <x:v>0</x:v>
      </x:c>
    </x:row>
    <x:row r="22" ht="21" customHeight="1">
      <x:c r="A22" s="83" t="n">
        <x:v>45738</x:v>
      </x:c>
      <x:c r="B22" t="str">
        <x:v>sábado</x:v>
      </x:c>
      <x:c r="C22" s="85" t="n">
        <x:v>0.5409722222222222</x:v>
      </x:c>
      <x:c r="D22" s="85"/>
      <x:c r="E22" s="85"/>
      <x:c r="F22" s="85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  <x:c r="S22" t="n">
        <x:v>0</x:v>
      </x:c>
      <x:c r="T22" t="str">
        <x:f>TEXT(INT(S22/60),"00")&amp;":"&amp;TEXT(MOD(S22,60),"00")</x:f>
        <x:v>00:00</x:v>
      </x:c>
      <x:c r="W22" t="n">
        <x:f>IF(S22&gt;0,1,0)</x:f>
        <x:v>0</x:v>
      </x:c>
    </x:row>
    <x:row r="23" ht="21" customHeight="1">
      <x:c r="A23" s="83" t="n">
        <x:v>45740</x:v>
      </x:c>
      <x:c r="B23" t="str">
        <x:v>segunda-feira</x:v>
      </x:c>
      <x:c r="C23" s="85" t="n">
        <x:v>0.54375</x:v>
      </x:c>
      <x:c r="D23" s="85" t="n">
        <x:v>0.6722222222222223</x:v>
      </x:c>
      <x:c r="E23" s="85" t="n">
        <x:v>0.7131944444444445</x:v>
      </x:c>
      <x:c r="F23" s="85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  <x:c r="S23" t="n">
        <x:v>0</x:v>
      </x:c>
      <x:c r="T23" t="str">
        <x:f>TEXT(INT(S23/60),"00")&amp;":"&amp;TEXT(MOD(S23,60),"00")</x:f>
        <x:v>00:00</x:v>
      </x:c>
      <x:c r="W23" t="n">
        <x:f>IF(S23&gt;0,1,0)</x:f>
        <x:v>0</x:v>
      </x:c>
    </x:row>
    <x:row r="24" ht="21" customHeight="1">
      <x:c r="A24" s="83" t="n">
        <x:v>45741</x:v>
      </x:c>
      <x:c r="B24" t="str">
        <x:v>terça-feira</x:v>
      </x:c>
      <x:c r="C24" s="85" t="n">
        <x:v>0.5465277777777777</x:v>
      </x:c>
      <x:c r="D24" s="85" t="n">
        <x:v>0.68125</x:v>
      </x:c>
      <x:c r="E24" s="85" t="n">
        <x:v>0.7256944444444444</x:v>
      </x:c>
      <x:c r="F24" s="85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  <x:c r="S24" t="n">
        <x:v>0</x:v>
      </x:c>
      <x:c r="T24" t="str">
        <x:f>TEXT(INT(S24/60),"00")&amp;":"&amp;TEXT(MOD(S24,60),"00")</x:f>
        <x:v>00:00</x:v>
      </x:c>
      <x:c r="W24" t="n">
        <x:f>IF(S24&gt;0,1,0)</x:f>
        <x:v>0</x:v>
      </x:c>
    </x:row>
    <x:row r="25" ht="21" customHeight="1">
      <x:c r="A25" s="83" t="n">
        <x:v>45742</x:v>
      </x:c>
      <x:c r="B25" t="str">
        <x:v>quarta-feira</x:v>
      </x:c>
      <x:c r="C25" s="85" t="n">
        <x:v>0.5465277777777777</x:v>
      </x:c>
      <x:c r="D25" s="85" t="n">
        <x:v>0.6875</x:v>
      </x:c>
      <x:c r="E25" s="85" t="n">
        <x:v>0.7284722222222222</x:v>
      </x:c>
      <x:c r="F25" s="85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  <x:c r="S25" t="n">
        <x:v>0</x:v>
      </x:c>
      <x:c r="T25" t="str">
        <x:f>TEXT(INT(S25/60),"00")&amp;":"&amp;TEXT(MOD(S25,60),"00")</x:f>
        <x:v>00:00</x:v>
      </x:c>
      <x:c r="W25" t="n">
        <x:f>IF(S25&gt;0,1,0)</x:f>
        <x:v>0</x:v>
      </x:c>
    </x:row>
    <x:row r="26" ht="21" customHeight="1">
      <x:c r="A26" s="83" t="n">
        <x:v>45743</x:v>
      </x:c>
      <x:c r="B26" t="str">
        <x:v>quinta-feira</x:v>
      </x:c>
      <x:c r="C26" s="85" t="n">
        <x:v>0.5388888888888889</x:v>
      </x:c>
      <x:c r="D26" s="85" t="n">
        <x:v>0.6805555555555556</x:v>
      </x:c>
      <x:c r="E26" s="85" t="n">
        <x:v>0.7201388888888889</x:v>
      </x:c>
      <x:c r="F26" s="85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  <x:c r="S26" t="n">
        <x:v>0</x:v>
      </x:c>
      <x:c r="T26" t="str">
        <x:f>TEXT(INT(S26/60),"00")&amp;":"&amp;TEXT(MOD(S26,60),"00")</x:f>
        <x:v>00:00</x:v>
      </x:c>
      <x:c r="W26" t="n">
        <x:f>IF(S26&gt;0,1,0)</x:f>
        <x:v>0</x:v>
      </x:c>
    </x:row>
    <x:row r="27" ht="21" customHeight="1">
      <x:c r="A27" s="83" t="n">
        <x:v>45744</x:v>
      </x:c>
      <x:c r="B27" t="str">
        <x:v>sexta-feira</x:v>
      </x:c>
      <x:c r="C27" s="85" t="n">
        <x:v>0.5416666666666666</x:v>
      </x:c>
      <x:c r="D27" s="85" t="n">
        <x:v>0.6694444444444444</x:v>
      </x:c>
      <x:c r="E27" s="85" t="n">
        <x:v>0.7090277777777778</x:v>
      </x:c>
      <x:c r="F27" s="85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  <x:c r="S27" t="n">
        <x:v>0</x:v>
      </x:c>
      <x:c r="T27" t="str">
        <x:f>TEXT(INT(S27/60),"00")&amp;":"&amp;TEXT(MOD(S27,60),"00")</x:f>
        <x:v>00:00</x:v>
      </x:c>
      <x:c r="W27" t="n">
        <x:f>IF(S27&gt;0,1,0)</x:f>
        <x:v>0</x:v>
      </x:c>
    </x:row>
    <x:row r="28" ht="21" customHeight="1">
      <x:c r="A28" s="83" t="n">
        <x:v>45745</x:v>
      </x:c>
      <x:c r="B28" t="str">
        <x:v>sábado</x:v>
      </x:c>
      <x:c r="C28" s="85" t="n">
        <x:v>0.5416666666666666</x:v>
      </x:c>
      <x:c r="D28" s="85" t="n">
        <x:v>0.6493055555555556</x:v>
      </x:c>
      <x:c r="E28" s="85" t="n">
        <x:v>0.6597222222222222</x:v>
      </x:c>
      <x:c r="F28" s="85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  <x:c r="S28" t="n">
        <x:v>0</x:v>
      </x:c>
      <x:c r="T28" t="str">
        <x:f>TEXT(INT(S28/60),"00")&amp;":"&amp;TEXT(MOD(S28,60),"00")</x:f>
        <x:v>00:00</x:v>
      </x:c>
      <x:c r="W28" t="n">
        <x:f>IF(S28&gt;0,1,0)</x:f>
        <x:v>0</x:v>
      </x:c>
    </x:row>
    <x:row r="29" ht="21" customHeight="1">
      <x:c r="A29" s="83" t="n">
        <x:v>45747</x:v>
      </x:c>
      <x:c r="B29" t="str">
        <x:v>segunda-feira</x:v>
      </x:c>
      <x:c r="C29" s="85" t="n">
        <x:v>0.5444444444444444</x:v>
      </x:c>
      <x:c r="D29" s="85" t="n">
        <x:v>0.6673611111111111</x:v>
      </x:c>
      <x:c r="E29" s="85" t="n">
        <x:v>0.7090277777777778</x:v>
      </x:c>
      <x:c r="F29" s="85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  <x:c r="S29" t="n">
        <x:v>0</x:v>
      </x:c>
      <x:c r="T29" t="str">
        <x:f>TEXT(INT(S29/60),"00")&amp;":"&amp;TEXT(MOD(S29,60),"00")</x:f>
        <x:v>00:00</x:v>
      </x:c>
      <x:c r="W29" t="n">
        <x:f>IF(S29&gt;0,1,0)</x:f>
        <x:v>0</x:v>
      </x:c>
    </x:row>
    <x:row r="30" ht="21" customHeight="1">
      <x:c r="A30" s="83" t="n">
        <x:v>45748</x:v>
      </x:c>
      <x:c r="B30" t="str">
        <x:v>terça-feira</x:v>
      </x:c>
      <x:c r="C30" s="85" t="n">
        <x:v>0.5430555555555555</x:v>
      </x:c>
      <x:c r="D30" s="85" t="n">
        <x:v>0.6784722222222223</x:v>
      </x:c>
      <x:c r="E30" s="85" t="n">
        <x:v>0.7215277777777778</x:v>
      </x:c>
      <x:c r="F30" s="85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  <x:c r="S30" t="n">
        <x:v>0</x:v>
      </x:c>
      <x:c r="T30" t="str">
        <x:f>TEXT(INT(S30/60),"00")&amp;":"&amp;TEXT(MOD(S30,60),"00")</x:f>
        <x:v>00:00</x:v>
      </x:c>
      <x:c r="W30" t="n">
        <x:f>IF(S30&gt;0,1,0)</x:f>
        <x:v>0</x:v>
      </x:c>
    </x:row>
    <x:row r="31" ht="21" customHeight="1">
      <x:c r="A31" s="83" t="n">
        <x:v>45749</x:v>
      </x:c>
      <x:c r="B31" t="str">
        <x:v>quarta-feira</x:v>
      </x:c>
      <x:c r="C31" s="85" t="n">
        <x:v>0.5451388888888888</x:v>
      </x:c>
      <x:c r="D31" s="85" t="n">
        <x:v>0.6715277777777777</x:v>
      </x:c>
      <x:c r="E31" s="85" t="n">
        <x:v>0.7125</x:v>
      </x:c>
      <x:c r="F31" s="85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  <x:c r="S31" t="n">
        <x:v>0</x:v>
      </x:c>
      <x:c r="T31" t="str">
        <x:f>TEXT(INT(S31/60),"00")&amp;":"&amp;TEXT(MOD(S31,60),"00")</x:f>
        <x:v>00:00</x:v>
      </x:c>
      <x:c r="W31" t="n">
        <x:f>IF(S31&gt;0,1,0)</x:f>
        <x:v>0</x:v>
      </x:c>
    </x:row>
    <x:row r="32" ht="21" customHeight="1">
      <x:c r="A32" s="83" t="n">
        <x:v>45750</x:v>
      </x:c>
      <x:c r="B32" t="str">
        <x:v>quinta-feira</x:v>
      </x:c>
      <x:c r="C32" s="85" t="n">
        <x:v>0.5465277777777777</x:v>
      </x:c>
      <x:c r="D32" s="85" t="n">
        <x:v>0.6694444444444444</x:v>
      </x:c>
      <x:c r="E32" s="85" t="n">
        <x:v>0.7125</x:v>
      </x:c>
      <x:c r="F32" s="85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  <x:c r="S32" t="n">
        <x:v>0</x:v>
      </x:c>
      <x:c r="T32" t="str">
        <x:f>TEXT(INT(S32/60),"00")&amp;":"&amp;TEXT(MOD(S32,60),"00")</x:f>
        <x:v>00:00</x:v>
      </x:c>
      <x:c r="W32" t="n">
        <x:f>IF(S32&gt;0,1,0)</x:f>
        <x:v>0</x:v>
      </x:c>
    </x:row>
    <x:row r="33" ht="21" customHeight="1">
      <x:c r="A33" s="83" t="n">
        <x:v>45751</x:v>
      </x:c>
      <x:c r="B33" t="str">
        <x:v>sexta-feira</x:v>
      </x:c>
      <x:c r="C33" s="85" t="n">
        <x:v>0.5444444444444444</x:v>
      </x:c>
      <x:c r="D33" s="85" t="n">
        <x:v>0.6694444444444444</x:v>
      </x:c>
      <x:c r="E33" s="85" t="n">
        <x:v>0.7104166666666667</x:v>
      </x:c>
      <x:c r="F33" s="85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  <x:c r="S33" t="n">
        <x:v>0</x:v>
      </x:c>
      <x:c r="T33" t="str">
        <x:f>TEXT(INT(S33/60),"00")&amp;":"&amp;TEXT(MOD(S33,60),"00")</x:f>
        <x:v>00:00</x:v>
      </x:c>
      <x:c r="W33" t="n">
        <x:f>IF(S33&gt;0,1,0)</x:f>
        <x:v>0</x:v>
      </x:c>
    </x:row>
    <x:row r="34" ht="21" customHeight="1">
      <x:c r="A34" s="83" t="n">
        <x:v>45752</x:v>
      </x:c>
      <x:c r="B34" t="str">
        <x:v>sábado</x:v>
      </x:c>
      <x:c r="C34" s="85" t="n">
        <x:v>0.5409722222222222</x:v>
      </x:c>
      <x:c r="D34" s="85"/>
      <x:c r="E34" s="85"/>
      <x:c r="F34" s="85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  <x:c r="S34" t="n">
        <x:v>0</x:v>
      </x:c>
      <x:c r="T34" t="str">
        <x:f>TEXT(INT(S34/60),"00")&amp;":"&amp;TEXT(MOD(S34,60),"00")</x:f>
        <x:v>00:00</x:v>
      </x:c>
      <x:c r="W34" t="n">
        <x:f>IF(S34&gt;0,1,0)</x:f>
        <x:v>0</x:v>
      </x:c>
    </x:row>
    <x:row r="35" ht="21" customHeight="1">
      <x:c r="A35" s="83" t="n">
        <x:v>45754</x:v>
      </x:c>
      <x:c r="B35" t="str">
        <x:v>segunda-feira</x:v>
      </x:c>
      <x:c r="C35" s="85" t="n">
        <x:v>0.5465277777777777</x:v>
      </x:c>
      <x:c r="D35" s="85" t="n">
        <x:v>0.6701388888888888</x:v>
      </x:c>
      <x:c r="E35" s="85" t="n">
        <x:v>0.7138888888888889</x:v>
      </x:c>
      <x:c r="F35" s="85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  <x:c r="S35" t="n">
        <x:v>0</x:v>
      </x:c>
      <x:c r="T35" t="str">
        <x:f>TEXT(INT(S35/60),"00")&amp;":"&amp;TEXT(MOD(S35,60),"00")</x:f>
        <x:v>00:00</x:v>
      </x:c>
      <x:c r="W35" t="n">
        <x:f>IF(S35&gt;0,1,0)</x:f>
        <x:v>0</x:v>
      </x:c>
    </x:row>
    <x:row r="36" ht="21" customHeight="1">
      <x:c r="A36" s="83" t="n">
        <x:v>45755</x:v>
      </x:c>
      <x:c r="B36" t="str">
        <x:v>terça-feira</x:v>
      </x:c>
      <x:c r="C36" s="85" t="n">
        <x:v>0.5444444444444444</x:v>
      </x:c>
      <x:c r="D36" s="85" t="n">
        <x:v>0.68125</x:v>
      </x:c>
      <x:c r="E36" s="85" t="n">
        <x:v>0.7256944444444444</x:v>
      </x:c>
      <x:c r="F36" s="85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  <x:c r="S36" t="n">
        <x:v>0</x:v>
      </x:c>
      <x:c r="T36" t="str">
        <x:f>TEXT(INT(S36/60),"00")&amp;":"&amp;TEXT(MOD(S36,60),"00")</x:f>
        <x:v>00:00</x:v>
      </x:c>
      <x:c r="W36" t="n">
        <x:f>IF(S36&gt;0,1,0)</x:f>
        <x:v>0</x:v>
      </x:c>
    </x:row>
    <x:row r="37" ht="21" customHeight="1">
      <x:c r="A37" s="83" t="n">
        <x:v>45756</x:v>
      </x:c>
      <x:c r="B37" t="str">
        <x:v>quarta-feira</x:v>
      </x:c>
      <x:c r="C37" s="85" t="n">
        <x:v>0.5430555555555555</x:v>
      </x:c>
      <x:c r="D37" s="85" t="n">
        <x:v>0.6840277777777778</x:v>
      </x:c>
      <x:c r="E37" s="85" t="n">
        <x:v>0.7256944444444444</x:v>
      </x:c>
      <x:c r="F37" s="85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  <x:c r="S37" t="n">
        <x:v>0</x:v>
      </x:c>
      <x:c r="T37" t="str">
        <x:f>TEXT(INT(S37/60),"00")&amp;":"&amp;TEXT(MOD(S37,60),"00")</x:f>
        <x:v>00:00</x:v>
      </x:c>
      <x:c r="W37" t="n">
        <x:f>IF(S37&gt;0,1,0)</x:f>
        <x:v>0</x:v>
      </x:c>
    </x:row>
    <x:row r="38" ht="21" customHeight="1">
      <x:c r="A38" s="83" t="n">
        <x:v>45757</x:v>
      </x:c>
      <x:c r="B38" t="str">
        <x:v>quinta-feira</x:v>
      </x:c>
      <x:c r="C38" s="85" t="n">
        <x:v>0.5465277777777777</x:v>
      </x:c>
      <x:c r="D38" s="85" t="n">
        <x:v>0.6784722222222223</x:v>
      </x:c>
      <x:c r="E38" s="85" t="n">
        <x:v>0.7173611111111111</x:v>
      </x:c>
      <x:c r="F38" s="85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  <x:c r="S38" t="n">
        <x:v>0</x:v>
      </x:c>
      <x:c r="T38" t="str">
        <x:f>TEXT(INT(S38/60),"00")&amp;":"&amp;TEXT(MOD(S38,60),"00")</x:f>
        <x:v>00:00</x:v>
      </x:c>
      <x:c r="W38" t="n">
        <x:f>IF(S38&gt;0,1,0)</x:f>
        <x:v>0</x:v>
      </x:c>
    </x:row>
    <x:row r="39" ht="21" customHeight="1">
      <x:c r="A39" s="83" t="n">
        <x:v>45758</x:v>
      </x:c>
      <x:c r="B39" t="str">
        <x:v>sexta-feira</x:v>
      </x:c>
      <x:c r="C39" s="85" t="n">
        <x:v>0.5430555555555555</x:v>
      </x:c>
      <x:c r="D39" s="85" t="n">
        <x:v>0.6694444444444444</x:v>
      </x:c>
      <x:c r="E39" s="85" t="n">
        <x:v>0.7104166666666667</x:v>
      </x:c>
      <x:c r="F39" s="85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  <x:c r="S39" t="n">
        <x:v>0</x:v>
      </x:c>
      <x:c r="T39" t="str">
        <x:f>TEXT(INT(S39/60),"00")&amp;":"&amp;TEXT(MOD(S39,60),"00")</x:f>
        <x:v>00:00</x:v>
      </x:c>
      <x:c r="W39" t="n">
        <x:f>IF(S39&gt;0,1,0)</x:f>
        <x:v>0</x:v>
      </x:c>
    </x:row>
    <x:row r="40" ht="21" customHeight="1">
      <x:c r="A40" s="83" t="n">
        <x:v>45759</x:v>
      </x:c>
      <x:c r="B40" t="str">
        <x:v>sábado</x:v>
      </x:c>
      <x:c r="C40" s="85" t="n">
        <x:v>0.5388888888888889</x:v>
      </x:c>
      <x:c r="D40" s="85"/>
      <x:c r="E40" s="85"/>
      <x:c r="F40" s="85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  <x:c r="S40" t="n">
        <x:v>0</x:v>
      </x:c>
      <x:c r="T40" t="str">
        <x:f>TEXT(INT(S40/60),"00")&amp;":"&amp;TEXT(MOD(S40,60),"00")</x:f>
        <x:v>00:00</x:v>
      </x:c>
      <x:c r="W40" t="n">
        <x:f>IF(S40&gt;0,1,0)</x:f>
        <x:v>0</x:v>
      </x:c>
    </x:row>
    <x:row r="41" ht="21" customHeight="1">
      <x:c r="A41" s="83" t="n">
        <x:v>45761</x:v>
      </x:c>
      <x:c r="B41" t="str">
        <x:v>segunda-feira</x:v>
      </x:c>
      <x:c r="C41" s="85" t="n">
        <x:v>0.5430555555555555</x:v>
      </x:c>
      <x:c r="D41" s="85" t="n">
        <x:v>0.6791666666666667</x:v>
      </x:c>
      <x:c r="E41" s="85" t="n">
        <x:v>0.7201388888888889</x:v>
      </x:c>
      <x:c r="F41" s="85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  <x:c r="S41" t="n">
        <x:v>0</x:v>
      </x:c>
      <x:c r="T41" t="str">
        <x:f>TEXT(INT(S41/60),"00")&amp;":"&amp;TEXT(MOD(S41,60),"00")</x:f>
        <x:v>00:00</x:v>
      </x:c>
      <x:c r="W41" t="n">
        <x:f>IF(S41&gt;0,1,0)</x:f>
        <x:v>0</x:v>
      </x:c>
    </x:row>
    <x:row r="42" ht="21" customHeight="1">
      <x:c r="A42" s="83" t="n">
        <x:v>45762</x:v>
      </x:c>
      <x:c r="B42" t="str">
        <x:v>terça-feira</x:v>
      </x:c>
      <x:c r="C42" s="85" t="n">
        <x:v>0.5409722222222222</x:v>
      </x:c>
      <x:c r="D42" s="85" t="n">
        <x:v>0.6736111111111112</x:v>
      </x:c>
      <x:c r="E42" s="85" t="n">
        <x:v>0.7131944444444445</x:v>
      </x:c>
      <x:c r="F42" s="85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  <x:c r="S42" t="n">
        <x:v>0</x:v>
      </x:c>
      <x:c r="T42" t="str">
        <x:f>TEXT(INT(S42/60),"00")&amp;":"&amp;TEXT(MOD(S42,60),"00")</x:f>
        <x:v>00:00</x:v>
      </x:c>
      <x:c r="W42" t="n">
        <x:f>IF(S42&gt;0,1,0)</x:f>
        <x:v>0</x:v>
      </x:c>
    </x:row>
    <x:row r="43" ht="21" customHeight="1">
      <x:c r="A43" s="83" t="n">
        <x:v>45763</x:v>
      </x:c>
      <x:c r="B43" t="str">
        <x:v>quarta-feira</x:v>
      </x:c>
      <x:c r="C43" s="85" t="n">
        <x:v>0.5409722222222222</x:v>
      </x:c>
      <x:c r="D43" s="85" t="n">
        <x:v>0.6694444444444444</x:v>
      </x:c>
      <x:c r="E43" s="85" t="n">
        <x:v>0.7083333333333334</x:v>
      </x:c>
      <x:c r="F43" s="85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  <x:c r="S43" t="n">
        <x:v>0</x:v>
      </x:c>
      <x:c r="T43" t="str">
        <x:f>TEXT(INT(S43/60),"00")&amp;":"&amp;TEXT(MOD(S43,60),"00")</x:f>
        <x:v>00:00</x:v>
      </x:c>
      <x:c r="W43" t="n">
        <x:f>IF(S43&gt;0,1,0)</x:f>
        <x:v>0</x:v>
      </x:c>
    </x:row>
    <x:row r="44" ht="21" customHeight="1">
      <x:c r="A44" s="83" t="n">
        <x:v>45764</x:v>
      </x:c>
      <x:c r="B44" t="str">
        <x:v>quinta-feira</x:v>
      </x:c>
      <x:c r="C44" s="85" t="n">
        <x:v>0.5465277777777777</x:v>
      </x:c>
      <x:c r="D44" s="85" t="n">
        <x:v>0.6805555555555556</x:v>
      </x:c>
      <x:c r="E44" s="85" t="n">
        <x:v>0.7208333333333333</x:v>
      </x:c>
      <x:c r="F44" s="85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  <x:c r="S44" t="n">
        <x:v>0</x:v>
      </x:c>
      <x:c r="T44" t="str">
        <x:f>TEXT(INT(S44/60),"00")&amp;":"&amp;TEXT(MOD(S44,60),"00")</x:f>
        <x:v>00:00</x:v>
      </x:c>
      <x:c r="W44" t="n">
        <x:f>IF(S44&gt;0,1,0)</x:f>
        <x:v>0</x:v>
      </x:c>
    </x:row>
    <x:row r="45" ht="21" customHeight="1">
      <x:c r="A45" s="83" t="n">
        <x:v>45765</x:v>
      </x:c>
      <x:c r="B45" t="str">
        <x:v>sexta-feira</x:v>
      </x:c>
      <x:c r="C45" s="85" t="n">
        <x:v>0.5375</x:v>
      </x:c>
      <x:c r="D45" s="85" t="n">
        <x:v>0.6770833333333334</x:v>
      </x:c>
      <x:c r="E45" s="85" t="n">
        <x:v>0.7173611111111111</x:v>
      </x:c>
      <x:c r="F45" s="85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  <x:c r="S45" t="n">
        <x:v>0</x:v>
      </x:c>
      <x:c r="T45" t="str">
        <x:f>TEXT(INT(S45/60),"00")&amp;":"&amp;TEXT(MOD(S45,60),"00")</x:f>
        <x:v>00:00</x:v>
      </x:c>
      <x:c r="W45" t="n">
        <x:f>IF(S45&gt;0,1,0)</x:f>
        <x:v>0</x:v>
      </x:c>
    </x:row>
    <x:row r="46" ht="21" customHeight="1">
      <x:c r="A46" s="83" t="n">
        <x:v>45766</x:v>
      </x:c>
      <x:c r="B46" t="str">
        <x:v>sábado</x:v>
      </x:c>
      <x:c r="C46" s="85" t="n">
        <x:v>0.5458333333333333</x:v>
      </x:c>
      <x:c r="D46" s="85"/>
      <x:c r="E46" s="85"/>
      <x:c r="F46" s="85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  <x:c r="S46" t="n">
        <x:v>0</x:v>
      </x:c>
      <x:c r="T46" t="str">
        <x:f>TEXT(INT(S46/60),"00")&amp;":"&amp;TEXT(MOD(S46,60),"00")</x:f>
        <x:v>00:00</x:v>
      </x:c>
      <x:c r="W46" t="n">
        <x:f>IF(S46&gt;0,1,0)</x:f>
        <x:v>0</x:v>
      </x:c>
    </x:row>
    <x:row r="47" ht="21" customHeight="1">
      <x:c r="A47" s="83" t="n">
        <x:v>45768</x:v>
      </x:c>
      <x:c r="B47" t="str">
        <x:v>segunda-feira</x:v>
      </x:c>
      <x:c r="C47" s="85" t="n">
        <x:v>0.5388888888888889</x:v>
      </x:c>
      <x:c r="D47" s="85" t="n">
        <x:v>0.6715277777777777</x:v>
      </x:c>
      <x:c r="E47" s="85" t="n">
        <x:v>0.7152777777777778</x:v>
      </x:c>
      <x:c r="F47" s="85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  <x:c r="S47" t="n">
        <x:v>0</x:v>
      </x:c>
      <x:c r="T47" t="str">
        <x:f>TEXT(INT(S47/60),"00")&amp;":"&amp;TEXT(MOD(S47,60),"00")</x:f>
        <x:v>00:00</x:v>
      </x:c>
      <x:c r="W47" t="n">
        <x:f>IF(S47&gt;0,1,0)</x:f>
        <x:v>0</x:v>
      </x:c>
    </x:row>
    <x:row r="48" ht="21" customHeight="1">
      <x:c r="A48" s="83" t="n">
        <x:v>45769</x:v>
      </x:c>
      <x:c r="B48" t="str">
        <x:v>terça-feira</x:v>
      </x:c>
      <x:c r="C48" s="85" t="n">
        <x:v>0.5465277777777777</x:v>
      </x:c>
      <x:c r="D48" s="85" t="n">
        <x:v>0.6694444444444444</x:v>
      </x:c>
      <x:c r="E48" s="85" t="n">
        <x:v>0.7118055555555556</x:v>
      </x:c>
      <x:c r="F48" s="85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  <x:c r="S48" t="n">
        <x:v>0</x:v>
      </x:c>
      <x:c r="T48" t="str">
        <x:f>TEXT(INT(S48/60),"00")&amp;":"&amp;TEXT(MOD(S48,60),"00")</x:f>
        <x:v>00:00</x:v>
      </x:c>
      <x:c r="W48" t="n">
        <x:f>IF(S48&gt;0,1,0)</x:f>
        <x:v>0</x:v>
      </x:c>
    </x:row>
    <x:row r="49" ht="21" customHeight="1">
      <x:c r="A49" s="83" t="n">
        <x:v>45770</x:v>
      </x:c>
      <x:c r="B49" t="str">
        <x:v>quarta-feira</x:v>
      </x:c>
      <x:c r="C49" s="85" t="n">
        <x:v>0.5416666666666666</x:v>
      </x:c>
      <x:c r="D49" s="85" t="n">
        <x:v>0.6666666666666666</x:v>
      </x:c>
      <x:c r="E49" s="85" t="n">
        <x:v>0.7083333333333334</x:v>
      </x:c>
      <x:c r="F49" s="85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  <x:c r="S49" t="n">
        <x:v>0</x:v>
      </x:c>
      <x:c r="T49" t="str">
        <x:f>TEXT(INT(S49/60),"00")&amp;":"&amp;TEXT(MOD(S49,60),"00")</x:f>
        <x:v>00:00</x:v>
      </x:c>
      <x:c r="W49" t="n">
        <x:f>IF(S49&gt;0,1,0)</x:f>
        <x:v>0</x:v>
      </x:c>
    </x:row>
    <x:row r="50" ht="21" customHeight="1">
      <x:c r="A50" s="83" t="n">
        <x:v>45771</x:v>
      </x:c>
      <x:c r="B50" t="str">
        <x:v>quinta-feira</x:v>
      </x:c>
      <x:c r="C50" s="85" t="n">
        <x:v>0.5375</x:v>
      </x:c>
      <x:c r="D50" s="85" t="n">
        <x:v>0.6777777777777778</x:v>
      </x:c>
      <x:c r="E50" s="85" t="n">
        <x:v>0.7180555555555556</x:v>
      </x:c>
      <x:c r="F50" s="85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  <x:c r="S50" t="n">
        <x:v>0</x:v>
      </x:c>
      <x:c r="T50" t="str">
        <x:f>TEXT(INT(S50/60),"00")&amp;":"&amp;TEXT(MOD(S50,60),"00")</x:f>
        <x:v>00:00</x:v>
      </x:c>
      <x:c r="W50" t="n">
        <x:f>IF(S50&gt;0,1,0)</x:f>
        <x:v>0</x:v>
      </x:c>
    </x:row>
    <x:row r="51" ht="21" customHeight="1">
      <x:c r="A51" s="83" t="n">
        <x:v>45772</x:v>
      </x:c>
      <x:c r="B51" t="str">
        <x:v>sexta-feira</x:v>
      </x:c>
      <x:c r="C51" s="85" t="n">
        <x:v>0.5395833333333333</x:v>
      </x:c>
      <x:c r="D51" s="85" t="n">
        <x:v>0.6673611111111111</x:v>
      </x:c>
      <x:c r="E51" s="85" t="n">
        <x:v>0.7069444444444445</x:v>
      </x:c>
      <x:c r="F51" s="85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  <x:c r="S51" t="n">
        <x:v>0</x:v>
      </x:c>
      <x:c r="T51" t="str">
        <x:f>TEXT(INT(S51/60),"00")&amp;":"&amp;TEXT(MOD(S51,60),"00")</x:f>
        <x:v>00:00</x:v>
      </x:c>
      <x:c r="W51" t="n">
        <x:f>IF(S51&gt;0,1,0)</x:f>
        <x:v>0</x:v>
      </x:c>
    </x:row>
    <x:row r="52" ht="21" customHeight="1">
      <x:c r="A52" s="83" t="n">
        <x:v>45773</x:v>
      </x:c>
      <x:c r="B52" t="str">
        <x:v>sábado</x:v>
      </x:c>
      <x:c r="C52" s="85" t="n">
        <x:v>0.5402777777777777</x:v>
      </x:c>
      <x:c r="D52" s="85"/>
      <x:c r="E52" s="85"/>
      <x:c r="F52" s="85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  <x:c r="S52" t="n">
        <x:v>0</x:v>
      </x:c>
      <x:c r="T52" t="str">
        <x:f>TEXT(INT(S52/60),"00")&amp;":"&amp;TEXT(MOD(S52,60),"00")</x:f>
        <x:v>00:00</x:v>
      </x:c>
      <x:c r="W52" t="n">
        <x:f>IF(S52&gt;0,1,0)</x:f>
        <x:v>0</x:v>
      </x:c>
    </x:row>
    <x:row r="53" ht="21" customHeight="1">
      <x:c r="A53" s="83" t="n">
        <x:v>45775</x:v>
      </x:c>
      <x:c r="B53" t="str">
        <x:v>segunda-feira</x:v>
      </x:c>
      <x:c r="C53" s="85" t="n">
        <x:v>0.5423611111111111</x:v>
      </x:c>
      <x:c r="D53" s="85" t="n">
        <x:v>0.6798611111111111</x:v>
      </x:c>
      <x:c r="E53" s="85" t="n">
        <x:v>0.7215277777777778</x:v>
      </x:c>
      <x:c r="F53" s="85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  <x:c r="S53" t="n">
        <x:v>0</x:v>
      </x:c>
      <x:c r="T53" t="str">
        <x:f>TEXT(INT(S53/60),"00")&amp;":"&amp;TEXT(MOD(S53,60),"00")</x:f>
        <x:v>00:00</x:v>
      </x:c>
      <x:c r="W53" t="n">
        <x:f>IF(S53&gt;0,1,0)</x:f>
        <x:v>0</x:v>
      </x:c>
    </x:row>
    <x:row r="54" ht="21" customHeight="1">
      <x:c r="A54" s="83" t="n">
        <x:v>45776</x:v>
      </x:c>
      <x:c r="B54" t="str">
        <x:v>terça-feira</x:v>
      </x:c>
      <x:c r="C54" s="85" t="n">
        <x:v>0.5375</x:v>
      </x:c>
      <x:c r="D54" s="85" t="n">
        <x:v>0.6777777777777778</x:v>
      </x:c>
      <x:c r="E54" s="85" t="n">
        <x:v>0.7222222222222222</x:v>
      </x:c>
      <x:c r="F54" s="85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  <x:c r="S54" t="n">
        <x:v>0</x:v>
      </x:c>
      <x:c r="T54" t="str">
        <x:f>TEXT(INT(S54/60),"00")&amp;":"&amp;TEXT(MOD(S54,60),"00")</x:f>
        <x:v>00:00</x:v>
      </x:c>
      <x:c r="W54" t="n">
        <x:f>IF(S54&gt;0,1,0)</x:f>
        <x:v>0</x:v>
      </x:c>
    </x:row>
    <x:row r="55" ht="21" customHeight="1">
      <x:c r="A55" s="83" t="n">
        <x:v>45777</x:v>
      </x:c>
      <x:c r="B55" t="str">
        <x:v>quarta-feira</x:v>
      </x:c>
      <x:c r="C55" s="85" t="n">
        <x:v>0.5444444444444444</x:v>
      </x:c>
      <x:c r="D55" s="85" t="n">
        <x:v>0.6729166666666667</x:v>
      </x:c>
      <x:c r="E55" s="85" t="n">
        <x:v>0.7152777777777778</x:v>
      </x:c>
      <x:c r="F55" s="85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  <x:c r="S55" t="n">
        <x:v>0</x:v>
      </x:c>
      <x:c r="T55" t="str">
        <x:f>TEXT(INT(S55/60),"00")&amp;":"&amp;TEXT(MOD(S55,60),"00")</x:f>
        <x:v>00:00</x:v>
      </x:c>
      <x:c r="W55" t="n">
        <x:f>IF(S55&gt;0,1,0)</x:f>
        <x:v>0</x:v>
      </x:c>
    </x:row>
    <x:row r="56" ht="21" customHeight="1">
      <x:c r="A56" s="83" t="n">
        <x:v>45778</x:v>
      </x:c>
      <x:c r="B56" t="str">
        <x:v>quinta-feira</x:v>
      </x:c>
      <x:c r="C56" s="85" t="n">
        <x:v>0.5472222222222223</x:v>
      </x:c>
      <x:c r="D56" s="85" t="n">
        <x:v>0.6743055555555556</x:v>
      </x:c>
      <x:c r="E56" s="85" t="n">
        <x:v>0.7138888888888889</x:v>
      </x:c>
      <x:c r="F56" s="85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  <x:c r="S56" t="n">
        <x:v>0</x:v>
      </x:c>
      <x:c r="T56" t="str">
        <x:f>TEXT(INT(S56/60),"00")&amp;":"&amp;TEXT(MOD(S56,60),"00")</x:f>
        <x:v>00:00</x:v>
      </x:c>
      <x:c r="W56" t="n">
        <x:f>IF(S56&gt;0,1,0)</x:f>
        <x:v>0</x:v>
      </x:c>
    </x:row>
    <x:row r="57" ht="21" customHeight="1">
      <x:c r="A57" s="83" t="n">
        <x:v>45779</x:v>
      </x:c>
      <x:c r="B57" t="str">
        <x:v>sexta-feira</x:v>
      </x:c>
      <x:c r="C57" s="85" t="n">
        <x:v>0.5375</x:v>
      </x:c>
      <x:c r="D57" s="85" t="n">
        <x:v>0.6798611111111111</x:v>
      </x:c>
      <x:c r="E57" s="85" t="n">
        <x:v>0.7229166666666667</x:v>
      </x:c>
      <x:c r="F57" s="85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  <x:c r="S57" t="n">
        <x:v>0</x:v>
      </x:c>
      <x:c r="T57" t="str">
        <x:f>TEXT(INT(S57/60),"00")&amp;":"&amp;TEXT(MOD(S57,60),"00")</x:f>
        <x:v>00:00</x:v>
      </x:c>
      <x:c r="W57" t="n">
        <x:f>IF(S57&gt;0,1,0)</x:f>
        <x:v>0</x:v>
      </x:c>
    </x:row>
    <x:row r="58" ht="21" customHeight="1">
      <x:c r="A58" s="83" t="n">
        <x:v>45780</x:v>
      </x:c>
      <x:c r="B58" t="str">
        <x:v>sábado</x:v>
      </x:c>
      <x:c r="C58" s="85" t="n">
        <x:v>0.5416666666666666</x:v>
      </x:c>
      <x:c r="D58" s="85"/>
      <x:c r="E58" s="85"/>
      <x:c r="F58" s="85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  <x:c r="S58" t="n">
        <x:v>0</x:v>
      </x:c>
      <x:c r="T58" t="str">
        <x:f>TEXT(INT(S58/60),"00")&amp;":"&amp;TEXT(MOD(S58,60),"00")</x:f>
        <x:v>00:00</x:v>
      </x:c>
      <x:c r="W58" t="n">
        <x:f>IF(S58&gt;0,1,0)</x:f>
        <x:v>0</x:v>
      </x:c>
    </x:row>
    <x:row r="59" ht="21" customHeight="1">
      <x:c r="A59" s="83" t="n">
        <x:v>45782</x:v>
      </x:c>
      <x:c r="B59" t="str">
        <x:v>segunda-feira</x:v>
      </x:c>
      <x:c r="C59" s="85" t="n">
        <x:v>0.5451388888888888</x:v>
      </x:c>
      <x:c r="D59" s="85" t="n">
        <x:v>0.6715277777777777</x:v>
      </x:c>
      <x:c r="E59" s="85" t="n">
        <x:v>0.7104166666666667</x:v>
      </x:c>
      <x:c r="F59" s="85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  <x:c r="S59" t="n">
        <x:v>0</x:v>
      </x:c>
      <x:c r="T59" t="str">
        <x:f>TEXT(INT(S59/60),"00")&amp;":"&amp;TEXT(MOD(S59,60),"00")</x:f>
        <x:v>00:00</x:v>
      </x:c>
      <x:c r="W59" t="n">
        <x:f>IF(S59&gt;0,1,0)</x:f>
        <x:v>0</x:v>
      </x:c>
    </x:row>
    <x:row r="60" ht="21" customHeight="1">
      <x:c r="A60" s="83" t="n">
        <x:v>45783</x:v>
      </x:c>
      <x:c r="B60" t="str">
        <x:v>terça-feira</x:v>
      </x:c>
      <x:c r="C60" s="85" t="n">
        <x:v>0.54375</x:v>
      </x:c>
      <x:c r="D60" s="85" t="n">
        <x:v>0.6666666666666666</x:v>
      </x:c>
      <x:c r="E60" s="85" t="n">
        <x:v>0.7111111111111111</x:v>
      </x:c>
      <x:c r="F60" s="85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  <x:c r="S60" t="n">
        <x:v>0</x:v>
      </x:c>
      <x:c r="T60" t="str">
        <x:f>TEXT(INT(S60/60),"00")&amp;":"&amp;TEXT(MOD(S60,60),"00")</x:f>
        <x:v>00:00</x:v>
      </x:c>
      <x:c r="W60" t="n">
        <x:f>IF(S60&gt;0,1,0)</x:f>
        <x:v>0</x:v>
      </x:c>
    </x:row>
    <x:row r="61" ht="21" customHeight="1">
      <x:c r="A61" s="83" t="n">
        <x:v>45784</x:v>
      </x:c>
      <x:c r="B61" t="str">
        <x:v>quarta-feira</x:v>
      </x:c>
      <x:c r="C61" s="85" t="n">
        <x:v>0.54375</x:v>
      </x:c>
      <x:c r="D61" s="85" t="n">
        <x:v>0.6673611111111111</x:v>
      </x:c>
      <x:c r="E61" s="85" t="n">
        <x:v>0.7083333333333334</x:v>
      </x:c>
      <x:c r="F61" s="85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  <x:c r="S61" t="n">
        <x:v>0</x:v>
      </x:c>
      <x:c r="T61" t="str">
        <x:f>TEXT(INT(S61/60),"00")&amp;":"&amp;TEXT(MOD(S61,60),"00")</x:f>
        <x:v>00:00</x:v>
      </x:c>
      <x:c r="W61" t="n">
        <x:f>IF(S61&gt;0,1,0)</x:f>
        <x:v>0</x:v>
      </x:c>
    </x:row>
    <x:row r="62" ht="21" customHeight="1">
      <x:c r="A62" s="83" t="n">
        <x:v>45785</x:v>
      </x:c>
      <x:c r="B62" t="str">
        <x:v>quinta-feira</x:v>
      </x:c>
      <x:c r="C62" s="85" t="n">
        <x:v>0.5388888888888889</x:v>
      </x:c>
      <x:c r="D62" s="85" t="n">
        <x:v>0.6770833333333334</x:v>
      </x:c>
      <x:c r="E62" s="85" t="n">
        <x:v>0.71875</x:v>
      </x:c>
      <x:c r="F62" s="85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  <x:c r="S62" t="n">
        <x:v>0</x:v>
      </x:c>
      <x:c r="T62" t="str">
        <x:f>TEXT(INT(S62/60),"00")&amp;":"&amp;TEXT(MOD(S62,60),"00")</x:f>
        <x:v>00:00</x:v>
      </x:c>
      <x:c r="W62" t="n">
        <x:f>IF(S62&gt;0,1,0)</x:f>
        <x:v>0</x:v>
      </x:c>
    </x:row>
    <x:row r="63" ht="21" customHeight="1">
      <x:c r="A63" s="83" t="n">
        <x:v>45786</x:v>
      </x:c>
      <x:c r="B63" t="str">
        <x:v>sexta-feira</x:v>
      </x:c>
      <x:c r="C63" s="85" t="n">
        <x:v>0.5472222222222223</x:v>
      </x:c>
      <x:c r="D63" s="85" t="n">
        <x:v>0.6659722222222222</x:v>
      </x:c>
      <x:c r="E63" s="85" t="n">
        <x:v>0.7097222222222223</x:v>
      </x:c>
      <x:c r="F63" s="85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  <x:c r="S63" t="n">
        <x:v>0</x:v>
      </x:c>
      <x:c r="T63" t="str">
        <x:f>TEXT(INT(S63/60),"00")&amp;":"&amp;TEXT(MOD(S63,60),"00")</x:f>
        <x:v>00:00</x:v>
      </x:c>
      <x:c r="W63" t="n">
        <x:f>IF(S63&gt;0,1,0)</x:f>
        <x:v>0</x:v>
      </x:c>
    </x:row>
    <x:row r="64" ht="21" customHeight="1">
      <x:c r="A64" s="83" t="n">
        <x:v>45787</x:v>
      </x:c>
      <x:c r="B64" t="str">
        <x:v>sábado</x:v>
      </x:c>
      <x:c r="C64" s="85" t="n">
        <x:v>0.5375</x:v>
      </x:c>
      <x:c r="D64" s="85" t="n">
        <x:v>0.65625</x:v>
      </x:c>
      <x:c r="E64" s="85" t="n">
        <x:v>0.6666666666666666</x:v>
      </x:c>
      <x:c r="F64" s="85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  <x:c r="S64" t="n">
        <x:v>0</x:v>
      </x:c>
      <x:c r="T64" t="str">
        <x:f>TEXT(INT(S64/60),"00")&amp;":"&amp;TEXT(MOD(S64,60),"00")</x:f>
        <x:v>00:00</x:v>
      </x:c>
      <x:c r="W64" t="n">
        <x:f>IF(S64&gt;0,1,0)</x:f>
        <x:v>0</x:v>
      </x:c>
    </x:row>
    <x:row r="65" ht="21" customHeight="1">
      <x:c r="A65" s="83" t="n">
        <x:v>45789</x:v>
      </x:c>
      <x:c r="B65" t="str">
        <x:v>segunda-feira</x:v>
      </x:c>
      <x:c r="C65" s="85" t="n">
        <x:v>0.5444444444444444</x:v>
      </x:c>
      <x:c r="D65" s="85" t="n">
        <x:v>0.6736111111111112</x:v>
      </x:c>
      <x:c r="E65" s="85" t="n">
        <x:v>0.7125</x:v>
      </x:c>
      <x:c r="F65" s="85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  <x:c r="S65" t="n">
        <x:v>0</x:v>
      </x:c>
      <x:c r="T65" t="str">
        <x:f>TEXT(INT(S65/60),"00")&amp;":"&amp;TEXT(MOD(S65,60),"00")</x:f>
        <x:v>00:00</x:v>
      </x:c>
      <x:c r="W65" t="n">
        <x:f>IF(S65&gt;0,1,0)</x:f>
        <x:v>0</x:v>
      </x:c>
    </x:row>
    <x:row r="66" ht="21" customHeight="1">
      <x:c r="A66" s="83" t="n">
        <x:v>45790</x:v>
      </x:c>
      <x:c r="B66" t="str">
        <x:v>terça-feira</x:v>
      </x:c>
      <x:c r="C66" s="85" t="n">
        <x:v>0.5430555555555555</x:v>
      </x:c>
      <x:c r="D66" s="85" t="n">
        <x:v>0.6763888888888889</x:v>
      </x:c>
      <x:c r="E66" s="85" t="n">
        <x:v>0.7152777777777778</x:v>
      </x:c>
      <x:c r="F66" s="85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  <x:c r="S66" t="n">
        <x:v>0</x:v>
      </x:c>
      <x:c r="T66" t="str">
        <x:f>TEXT(INT(S66/60),"00")&amp;":"&amp;TEXT(MOD(S66,60),"00")</x:f>
        <x:v>00:00</x:v>
      </x:c>
      <x:c r="W66" t="n">
        <x:f>IF(S66&gt;0,1,0)</x:f>
        <x:v>0</x:v>
      </x:c>
    </x:row>
    <x:row r="67" ht="21" customHeight="1">
      <x:c r="A67" s="83" t="n">
        <x:v>45791</x:v>
      </x:c>
      <x:c r="B67" t="str">
        <x:v>quarta-feira</x:v>
      </x:c>
      <x:c r="C67" s="85" t="n">
        <x:v>0.54375</x:v>
      </x:c>
      <x:c r="D67" s="85" t="n">
        <x:v>0.6708333333333333</x:v>
      </x:c>
      <x:c r="E67" s="85" t="n">
        <x:v>0.7104166666666667</x:v>
      </x:c>
      <x:c r="F67" s="85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  <x:c r="S67" t="n">
        <x:v>0</x:v>
      </x:c>
      <x:c r="T67" t="str">
        <x:f>TEXT(INT(S67/60),"00")&amp;":"&amp;TEXT(MOD(S67,60),"00")</x:f>
        <x:v>00:00</x:v>
      </x:c>
      <x:c r="W67" t="n">
        <x:f>IF(S67&gt;0,1,0)</x:f>
        <x:v>0</x:v>
      </x:c>
    </x:row>
    <x:row r="68" ht="21" customHeight="1">
      <x:c r="A68" s="83" t="n">
        <x:v>45792</x:v>
      </x:c>
      <x:c r="B68" t="str">
        <x:v>quinta-feira</x:v>
      </x:c>
      <x:c r="C68" s="85" t="n">
        <x:v>0.5402777777777777</x:v>
      </x:c>
      <x:c r="D68" s="85" t="n">
        <x:v>0.6944444444444444</x:v>
      </x:c>
      <x:c r="E68" s="85" t="n">
        <x:v>0.7381944444444445</x:v>
      </x:c>
      <x:c r="F68" s="85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  <x:c r="S68" t="n">
        <x:v>0</x:v>
      </x:c>
      <x:c r="T68" t="str">
        <x:f>TEXT(INT(S68/60),"00")&amp;":"&amp;TEXT(MOD(S68,60),"00")</x:f>
        <x:v>00:00</x:v>
      </x:c>
      <x:c r="W68" t="n">
        <x:f>IF(S68&gt;0,1,0)</x:f>
        <x:v>0</x:v>
      </x:c>
    </x:row>
    <x:row r="69" ht="21" customHeight="1">
      <x:c r="A69" s="83" t="n">
        <x:v>45793</x:v>
      </x:c>
      <x:c r="B69" t="str">
        <x:v>sexta-feira</x:v>
      </x:c>
      <x:c r="C69" s="85" t="n">
        <x:v>0.54375</x:v>
      </x:c>
      <x:c r="D69" s="85" t="n">
        <x:v>0.6791666666666667</x:v>
      </x:c>
      <x:c r="E69" s="85" t="n">
        <x:v>0.7222222222222222</x:v>
      </x:c>
      <x:c r="F69" s="85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  <x:c r="S69" t="n">
        <x:v>0</x:v>
      </x:c>
      <x:c r="T69" t="str">
        <x:f>TEXT(INT(S69/60),"00")&amp;":"&amp;TEXT(MOD(S69,60),"00")</x:f>
        <x:v>00:00</x:v>
      </x:c>
      <x:c r="W69" t="n">
        <x:f>IF(S69&gt;0,1,0)</x:f>
        <x:v>0</x:v>
      </x:c>
    </x:row>
    <x:row r="70" ht="21" customHeight="1">
      <x:c r="A70" s="83" t="n">
        <x:v>45794</x:v>
      </x:c>
      <x:c r="B70" t="str">
        <x:v>sábado</x:v>
      </x:c>
      <x:c r="C70" s="85" t="n">
        <x:v>0.5430555555555555</x:v>
      </x:c>
      <x:c r="D70" s="85"/>
      <x:c r="E70" s="85"/>
      <x:c r="F70" s="85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  <x:c r="S70" t="n">
        <x:v>0</x:v>
      </x:c>
      <x:c r="T70" t="str">
        <x:f>TEXT(INT(S70/60),"00")&amp;":"&amp;TEXT(MOD(S70,60),"00")</x:f>
        <x:v>00:00</x:v>
      </x:c>
      <x:c r="W70" t="n">
        <x:f>IF(S70&gt;0,1,0)</x:f>
        <x:v>0</x:v>
      </x:c>
    </x:row>
    <x:row r="71" ht="21" customHeight="1">
      <x:c r="A71" s="83" t="n">
        <x:v>45796</x:v>
      </x:c>
      <x:c r="B71" t="str">
        <x:v>segunda-feira</x:v>
      </x:c>
      <x:c r="C71" s="85" t="n">
        <x:v>0.5430555555555555</x:v>
      </x:c>
      <x:c r="D71" s="85" t="n">
        <x:v>0.6805555555555556</x:v>
      </x:c>
      <x:c r="E71" s="85" t="n">
        <x:v>0.725</x:v>
      </x:c>
      <x:c r="F71" s="85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  <x:c r="S71" t="n">
        <x:v>0</x:v>
      </x:c>
      <x:c r="T71" t="str">
        <x:f>TEXT(INT(S71/60),"00")&amp;":"&amp;TEXT(MOD(S71,60),"00")</x:f>
        <x:v>00:00</x:v>
      </x:c>
      <x:c r="W71" t="n">
        <x:f>IF(S71&gt;0,1,0)</x:f>
        <x:v>0</x:v>
      </x:c>
    </x:row>
    <x:row r="72" ht="21" customHeight="1">
      <x:c r="A72" s="83" t="n">
        <x:v>45797</x:v>
      </x:c>
      <x:c r="B72" t="str">
        <x:v>terça-feira</x:v>
      </x:c>
      <x:c r="C72" s="85" t="n">
        <x:v>0.54375</x:v>
      </x:c>
      <x:c r="D72" s="85" t="n">
        <x:v>0.6791666666666667</x:v>
      </x:c>
      <x:c r="E72" s="85" t="n">
        <x:v>0.7229166666666667</x:v>
      </x:c>
      <x:c r="F72" s="85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  <x:c r="S72" t="n">
        <x:v>0</x:v>
      </x:c>
      <x:c r="T72" t="str">
        <x:f>TEXT(INT(S72/60),"00")&amp;":"&amp;TEXT(MOD(S72,60),"00")</x:f>
        <x:v>00:00</x:v>
      </x:c>
      <x:c r="W72" t="n">
        <x:f>IF(S72&gt;0,1,0)</x:f>
        <x:v>0</x:v>
      </x:c>
    </x:row>
    <x:row r="73" ht="21" customHeight="1">
      <x:c r="A73" s="83" t="n">
        <x:v>45798</x:v>
      </x:c>
      <x:c r="B73" t="str">
        <x:v>quarta-feira</x:v>
      </x:c>
      <x:c r="C73" s="85" t="n">
        <x:v>0.5472222222222223</x:v>
      </x:c>
      <x:c r="D73" s="85" t="n">
        <x:v>0.6680555555555555</x:v>
      </x:c>
      <x:c r="E73" s="85" t="n">
        <x:v>0.7111111111111111</x:v>
      </x:c>
      <x:c r="F73" s="85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  <x:c r="S73" t="n">
        <x:v>0</x:v>
      </x:c>
      <x:c r="T73" t="str">
        <x:f>TEXT(INT(S73/60),"00")&amp;":"&amp;TEXT(MOD(S73,60),"00")</x:f>
        <x:v>00:00</x:v>
      </x:c>
      <x:c r="W73" t="n">
        <x:f>IF(S73&gt;0,1,0)</x:f>
        <x:v>0</x:v>
      </x:c>
    </x:row>
    <x:row r="74" ht="21" customHeight="1">
      <x:c r="A74" s="83" t="n">
        <x:v>45799</x:v>
      </x:c>
      <x:c r="B74" t="str">
        <x:v>quinta-feira</x:v>
      </x:c>
      <x:c r="C74" s="85" t="n">
        <x:v>0.5465277777777777</x:v>
      </x:c>
      <x:c r="D74" s="85" t="n">
        <x:v>0.6666666666666666</x:v>
      </x:c>
      <x:c r="E74" s="85" t="n">
        <x:v>0.7069444444444445</x:v>
      </x:c>
      <x:c r="F74" s="85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  <x:c r="S74" t="n">
        <x:v>0</x:v>
      </x:c>
      <x:c r="T74" t="str">
        <x:f>TEXT(INT(S74/60),"00")&amp;":"&amp;TEXT(MOD(S74,60),"00")</x:f>
        <x:v>00:00</x:v>
      </x:c>
      <x:c r="W74" t="n">
        <x:f>IF(S74&gt;0,1,0)</x:f>
        <x:v>0</x:v>
      </x:c>
    </x:row>
    <x:row r="75" ht="21" customHeight="1">
      <x:c r="A75" s="83" t="n">
        <x:v>45800</x:v>
      </x:c>
      <x:c r="B75" t="str">
        <x:v>sexta-feira</x:v>
      </x:c>
      <x:c r="C75" s="85" t="n">
        <x:v>0.5458333333333333</x:v>
      </x:c>
      <x:c r="D75" s="85" t="n">
        <x:v>0.68125</x:v>
      </x:c>
      <x:c r="E75" s="85" t="n">
        <x:v>0.7256944444444444</x:v>
      </x:c>
      <x:c r="F75" s="85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  <x:c r="S75" t="n">
        <x:v>0</x:v>
      </x:c>
      <x:c r="T75" t="str">
        <x:f>TEXT(INT(S75/60),"00")&amp;":"&amp;TEXT(MOD(S75,60),"00")</x:f>
        <x:v>00:00</x:v>
      </x:c>
      <x:c r="W75" t="n">
        <x:f>IF(S75&gt;0,1,0)</x:f>
        <x:v>0</x:v>
      </x:c>
    </x:row>
    <x:row r="76" ht="21" customHeight="1">
      <x:c r="A76" s="83" t="n">
        <x:v>45801</x:v>
      </x:c>
      <x:c r="B76" t="str">
        <x:v>sábado</x:v>
      </x:c>
      <x:c r="C76" s="85" t="n">
        <x:v>0.5381944444444444</x:v>
      </x:c>
      <x:c r="D76" s="85"/>
      <x:c r="E76" s="85"/>
      <x:c r="F76" s="85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  <x:c r="S76" t="n">
        <x:v>0</x:v>
      </x:c>
      <x:c r="T76" t="str">
        <x:f>TEXT(INT(S76/60),"00")&amp;":"&amp;TEXT(MOD(S76,60),"00")</x:f>
        <x:v>00:00</x:v>
      </x:c>
      <x:c r="W76" t="n">
        <x:f>IF(S76&gt;0,1,0)</x:f>
        <x:v>0</x:v>
      </x:c>
    </x:row>
    <x:row r="77" ht="21" customHeight="1">
      <x:c r="A77" s="83" t="n">
        <x:v>45803</x:v>
      </x:c>
      <x:c r="B77" t="str">
        <x:v>segunda-feira</x:v>
      </x:c>
      <x:c r="C77" s="85" t="n">
        <x:v>0.5430555555555555</x:v>
      </x:c>
      <x:c r="D77" s="85" t="n">
        <x:v>0.6743055555555556</x:v>
      </x:c>
      <x:c r="E77" s="85" t="n">
        <x:v>0.7173611111111111</x:v>
      </x:c>
      <x:c r="F77" s="85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  <x:c r="S77" t="n">
        <x:v>0</x:v>
      </x:c>
      <x:c r="T77" t="str">
        <x:f>TEXT(INT(S77/60),"00")&amp;":"&amp;TEXT(MOD(S77,60),"00")</x:f>
        <x:v>00:00</x:v>
      </x:c>
      <x:c r="W77" t="n">
        <x:f>IF(S77&gt;0,1,0)</x:f>
        <x:v>0</x:v>
      </x:c>
    </x:row>
    <x:row r="78" ht="21" customHeight="1">
      <x:c r="A78" s="83" t="n">
        <x:v>45804</x:v>
      </x:c>
      <x:c r="B78" t="str">
        <x:v>terça-feira</x:v>
      </x:c>
      <x:c r="C78" s="85" t="n">
        <x:v>0.5430555555555555</x:v>
      </x:c>
      <x:c r="D78" s="85" t="n">
        <x:v>0.6680555555555555</x:v>
      </x:c>
      <x:c r="E78" s="85" t="n">
        <x:v>0.7090277777777778</x:v>
      </x:c>
      <x:c r="F78" s="85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  <x:c r="S78" t="n">
        <x:v>0</x:v>
      </x:c>
      <x:c r="T78" t="str">
        <x:f>TEXT(INT(S78/60),"00")&amp;":"&amp;TEXT(MOD(S78,60),"00")</x:f>
        <x:v>00:00</x:v>
      </x:c>
      <x:c r="W78" t="n">
        <x:f>IF(S78&gt;0,1,0)</x:f>
        <x:v>0</x:v>
      </x:c>
    </x:row>
    <x:row r="79" ht="21" customHeight="1">
      <x:c r="A79" s="83" t="n">
        <x:v>45805</x:v>
      </x:c>
      <x:c r="B79" t="str">
        <x:v>quarta-feira</x:v>
      </x:c>
      <x:c r="C79" s="85" t="n">
        <x:v>0.5395833333333333</x:v>
      </x:c>
      <x:c r="D79" s="85" t="n">
        <x:v>0.6840277777777778</x:v>
      </x:c>
      <x:c r="E79" s="85" t="n">
        <x:v>0.7229166666666667</x:v>
      </x:c>
      <x:c r="F79" s="85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  <x:c r="S79" t="n">
        <x:v>0</x:v>
      </x:c>
      <x:c r="T79" t="str">
        <x:f>TEXT(INT(S79/60),"00")&amp;":"&amp;TEXT(MOD(S79,60),"00")</x:f>
        <x:v>00:00</x:v>
      </x:c>
      <x:c r="W79" t="n">
        <x:f>IF(S79&gt;0,1,0)</x:f>
        <x:v>0</x:v>
      </x:c>
    </x:row>
    <x:row r="80" ht="21" customHeight="1">
      <x:c r="A80" s="83" t="n">
        <x:v>45806</x:v>
      </x:c>
      <x:c r="B80" t="str">
        <x:v>quinta-feira</x:v>
      </x:c>
      <x:c r="C80" s="85" t="n">
        <x:v>0.5472222222222223</x:v>
      </x:c>
      <x:c r="D80" s="85" t="n">
        <x:v>0.68125</x:v>
      </x:c>
      <x:c r="E80" s="85" t="n">
        <x:v>0.7243055555555555</x:v>
      </x:c>
      <x:c r="F80" s="85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  <x:c r="S80" t="n">
        <x:v>0</x:v>
      </x:c>
      <x:c r="T80" t="str">
        <x:f>TEXT(INT(S80/60),"00")&amp;":"&amp;TEXT(MOD(S80,60),"00")</x:f>
        <x:v>00:00</x:v>
      </x:c>
      <x:c r="W80" t="n">
        <x:f>IF(S80&gt;0,1,0)</x:f>
        <x:v>0</x:v>
      </x:c>
    </x:row>
    <x:row r="81" ht="21" customHeight="1">
      <x:c r="A81" s="83" t="n">
        <x:v>45807</x:v>
      </x:c>
      <x:c r="B81" t="str">
        <x:v>sexta-feira</x:v>
      </x:c>
      <x:c r="C81" s="85" t="n">
        <x:v>0.5458333333333333</x:v>
      </x:c>
      <x:c r="D81" s="85" t="n">
        <x:v>0.6680555555555555</x:v>
      </x:c>
      <x:c r="E81" s="85" t="n">
        <x:v>0.7090277777777778</x:v>
      </x:c>
      <x:c r="F81" s="85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  <x:c r="S81" t="n">
        <x:v>0</x:v>
      </x:c>
      <x:c r="T81" t="str">
        <x:f>TEXT(INT(S81/60),"00")&amp;":"&amp;TEXT(MOD(S81,60),"00")</x:f>
        <x:v>00:00</x:v>
      </x:c>
      <x:c r="W81" t="n">
        <x:f>IF(S81&gt;0,1,0)</x:f>
        <x:v>0</x:v>
      </x:c>
    </x:row>
    <x:row r="82" ht="21" customHeight="1">
      <x:c r="A82" s="83" t="n">
        <x:v>45808</x:v>
      </x:c>
      <x:c r="B82" t="str">
        <x:v>sábado</x:v>
      </x:c>
      <x:c r="C82" s="85" t="n">
        <x:v>0.54375</x:v>
      </x:c>
      <x:c r="D82" s="85"/>
      <x:c r="E82" s="85"/>
      <x:c r="F82" s="85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  <x:c r="S82" t="n">
        <x:v>0</x:v>
      </x:c>
      <x:c r="T82" t="str">
        <x:f>TEXT(INT(S82/60),"00")&amp;":"&amp;TEXT(MOD(S82,60),"00")</x:f>
        <x:v>00:00</x:v>
      </x:c>
      <x:c r="W82" t="n">
        <x:f>IF(S82&gt;0,1,0)</x:f>
        <x:v>0</x:v>
      </x:c>
    </x:row>
    <x:row r="83" ht="21" customHeight="1">
      <x:c r="A83" s="83" t="n">
        <x:v>45810</x:v>
      </x:c>
      <x:c r="B83" t="str">
        <x:v>segunda-feira</x:v>
      </x:c>
      <x:c r="C83" s="85" t="n">
        <x:v>0.5458333333333333</x:v>
      </x:c>
      <x:c r="D83" s="85" t="n">
        <x:v>0.6798611111111111</x:v>
      </x:c>
      <x:c r="E83" s="85" t="n">
        <x:v>0.7201388888888889</x:v>
      </x:c>
      <x:c r="F83" s="85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  <x:c r="S83" t="n">
        <x:v>0</x:v>
      </x:c>
      <x:c r="T83" t="str">
        <x:f>TEXT(INT(S83/60),"00")&amp;":"&amp;TEXT(MOD(S83,60),"00")</x:f>
        <x:v>00:00</x:v>
      </x:c>
      <x:c r="W83" t="n">
        <x:f>IF(S83&gt;0,1,0)</x:f>
        <x:v>0</x:v>
      </x:c>
    </x:row>
    <x:row r="84" ht="21" customHeight="1">
      <x:c r="A84" s="83" t="n">
        <x:v>45811</x:v>
      </x:c>
      <x:c r="B84" t="str">
        <x:v>terça-feira</x:v>
      </x:c>
      <x:c r="C84" s="85" t="n">
        <x:v>0.5465277777777777</x:v>
      </x:c>
      <x:c r="D84" s="85" t="n">
        <x:v>0.6680555555555555</x:v>
      </x:c>
      <x:c r="E84" s="85" t="n">
        <x:v>0.7083333333333334</x:v>
      </x:c>
      <x:c r="F84" s="85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  <x:c r="S84" t="n">
        <x:v>0</x:v>
      </x:c>
      <x:c r="T84" t="str">
        <x:f>TEXT(INT(S84/60),"00")&amp;":"&amp;TEXT(MOD(S84,60),"00")</x:f>
        <x:v>00:00</x:v>
      </x:c>
      <x:c r="W84" t="n">
        <x:f>IF(S84&gt;0,1,0)</x:f>
        <x:v>0</x:v>
      </x:c>
    </x:row>
    <x:row r="85" ht="21" customHeight="1">
      <x:c r="A85" s="83" t="n">
        <x:v>45812</x:v>
      </x:c>
      <x:c r="B85" t="str">
        <x:v>quarta-feira</x:v>
      </x:c>
      <x:c r="C85" s="85" t="n">
        <x:v>0.5423611111111111</x:v>
      </x:c>
      <x:c r="D85" s="85" t="n">
        <x:v>0.6701388888888888</x:v>
      </x:c>
      <x:c r="E85" s="85" t="n">
        <x:v>0.7118055555555556</x:v>
      </x:c>
      <x:c r="F85" s="85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  <x:c r="S85" t="n">
        <x:v>0</x:v>
      </x:c>
      <x:c r="T85" t="str">
        <x:f>TEXT(INT(S85/60),"00")&amp;":"&amp;TEXT(MOD(S85,60),"00")</x:f>
        <x:v>00:00</x:v>
      </x:c>
      <x:c r="W85" t="n">
        <x:f>IF(S85&gt;0,1,0)</x:f>
        <x:v>0</x:v>
      </x:c>
    </x:row>
    <x:row r="86" ht="21" customHeight="1">
      <x:c r="A86" s="83" t="n">
        <x:v>45813</x:v>
      </x:c>
      <x:c r="B86" t="str">
        <x:v>quinta-feira</x:v>
      </x:c>
      <x:c r="C86" s="85" t="n">
        <x:v>0.5430555555555555</x:v>
      </x:c>
      <x:c r="D86" s="85" t="n">
        <x:v>0.6729166666666667</x:v>
      </x:c>
      <x:c r="E86" s="85" t="n">
        <x:v>0.7152777777777778</x:v>
      </x:c>
      <x:c r="F86" s="85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  <x:c r="S86" t="n">
        <x:v>0</x:v>
      </x:c>
      <x:c r="T86" t="str">
        <x:f>TEXT(INT(S86/60),"00")&amp;":"&amp;TEXT(MOD(S86,60),"00")</x:f>
        <x:v>00:00</x:v>
      </x:c>
      <x:c r="W86" t="n">
        <x:f>IF(S86&gt;0,1,0)</x:f>
        <x:v>0</x:v>
      </x:c>
    </x:row>
    <x:row r="87" ht="21" customHeight="1">
      <x:c r="A87" s="83" t="n">
        <x:v>45814</x:v>
      </x:c>
      <x:c r="B87" t="str">
        <x:v>sexta-feira</x:v>
      </x:c>
      <x:c r="C87" s="85" t="n">
        <x:v>0.5402777777777777</x:v>
      </x:c>
      <x:c r="D87" s="85" t="n">
        <x:v>0.6736111111111112</x:v>
      </x:c>
      <x:c r="E87" s="85" t="n">
        <x:v>0.7152777777777778</x:v>
      </x:c>
      <x:c r="F87" s="85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  <x:c r="S87" t="n">
        <x:v>0</x:v>
      </x:c>
      <x:c r="T87" t="str">
        <x:f>TEXT(INT(S87/60),"00")&amp;":"&amp;TEXT(MOD(S87,60),"00")</x:f>
        <x:v>00:00</x:v>
      </x:c>
      <x:c r="W87" t="n">
        <x:f>IF(S87&gt;0,1,0)</x:f>
        <x:v>0</x:v>
      </x:c>
    </x:row>
    <x:row r="88" ht="21" customHeight="1">
      <x:c r="A88" s="83" t="n">
        <x:v>45815</x:v>
      </x:c>
      <x:c r="B88" t="str">
        <x:v>sábado</x:v>
      </x:c>
      <x:c r="C88" s="85" t="n">
        <x:v>0.5388888888888889</x:v>
      </x:c>
      <x:c r="D88" s="85"/>
      <x:c r="E88" s="85"/>
      <x:c r="F88" s="85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  <x:c r="S88" t="n">
        <x:v>0</x:v>
      </x:c>
      <x:c r="T88" t="str">
        <x:f>TEXT(INT(S88/60),"00")&amp;":"&amp;TEXT(MOD(S88,60),"00")</x:f>
        <x:v>00:00</x:v>
      </x:c>
      <x:c r="W88" t="n">
        <x:f>IF(S88&gt;0,1,0)</x:f>
        <x:v>0</x:v>
      </x:c>
    </x:row>
    <x:row r="89" ht="21" customHeight="1">
      <x:c r="A89" s="83" t="n">
        <x:v>45817</x:v>
      </x:c>
      <x:c r="B89" t="str">
        <x:v>segunda-feira</x:v>
      </x:c>
      <x:c r="C89" s="85" t="n">
        <x:v>0.5395833333333333</x:v>
      </x:c>
      <x:c r="D89" s="85" t="n">
        <x:v>0.6694444444444444</x:v>
      </x:c>
      <x:c r="E89" s="85" t="n">
        <x:v>0.7104166666666667</x:v>
      </x:c>
      <x:c r="F89" s="85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  <x:c r="S89" t="n">
        <x:v>0</x:v>
      </x:c>
      <x:c r="T89" t="str">
        <x:f>TEXT(INT(S89/60),"00")&amp;":"&amp;TEXT(MOD(S89,60),"00")</x:f>
        <x:v>00:00</x:v>
      </x:c>
      <x:c r="W89" t="n">
        <x:f>IF(S89&gt;0,1,0)</x:f>
        <x:v>0</x:v>
      </x:c>
    </x:row>
    <x:row r="90" ht="21" customHeight="1">
      <x:c r="A90" s="83" t="n">
        <x:v>45818</x:v>
      </x:c>
      <x:c r="B90" t="str">
        <x:v>terça-feira</x:v>
      </x:c>
      <x:c r="C90" s="85" t="n">
        <x:v>0.5444444444444444</x:v>
      </x:c>
      <x:c r="D90" s="85" t="n">
        <x:v>0.6736111111111112</x:v>
      </x:c>
      <x:c r="E90" s="85" t="n">
        <x:v>0.7131944444444445</x:v>
      </x:c>
      <x:c r="F90" s="85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  <x:c r="S90" t="n">
        <x:v>0</x:v>
      </x:c>
      <x:c r="T90" t="str">
        <x:f>TEXT(INT(S90/60),"00")&amp;":"&amp;TEXT(MOD(S90,60),"00")</x:f>
        <x:v>00:00</x:v>
      </x:c>
      <x:c r="W90" t="n">
        <x:f>IF(S90&gt;0,1,0)</x:f>
        <x:v>0</x:v>
      </x:c>
    </x:row>
    <x:row r="91" ht="21" customHeight="1">
      <x:c r="A91" s="83" t="n">
        <x:v>45819</x:v>
      </x:c>
      <x:c r="B91" t="str">
        <x:v>quarta-feira</x:v>
      </x:c>
      <x:c r="C91" s="85" t="n">
        <x:v>0.5423611111111111</x:v>
      </x:c>
      <x:c r="D91" s="85" t="n">
        <x:v>0.6805555555555556</x:v>
      </x:c>
      <x:c r="E91" s="85" t="n">
        <x:v>0.7236111111111111</x:v>
      </x:c>
      <x:c r="F91" s="85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  <x:c r="S91" t="n">
        <x:v>0</x:v>
      </x:c>
      <x:c r="T91" t="str">
        <x:f>TEXT(INT(S91/60),"00")&amp;":"&amp;TEXT(MOD(S91,60),"00")</x:f>
        <x:v>00:00</x:v>
      </x:c>
      <x:c r="W91" t="n">
        <x:f>IF(S91&gt;0,1,0)</x:f>
        <x:v>0</x:v>
      </x:c>
    </x:row>
    <x:row r="92" ht="21" customHeight="1">
      <x:c r="A92" s="83" t="n">
        <x:v>45820</x:v>
      </x:c>
      <x:c r="B92" t="str">
        <x:v>quinta-feira</x:v>
      </x:c>
      <x:c r="C92" s="85" t="n">
        <x:v>0.5416666666666666</x:v>
      </x:c>
      <x:c r="D92" s="85" t="n">
        <x:v>0.6666666666666666</x:v>
      </x:c>
      <x:c r="E92" s="85" t="n">
        <x:v>0.7083333333333334</x:v>
      </x:c>
      <x:c r="F92" s="85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  <x:c r="S92" t="n">
        <x:v>0</x:v>
      </x:c>
      <x:c r="T92" t="str">
        <x:f>TEXT(INT(S92/60),"00")&amp;":"&amp;TEXT(MOD(S92,60),"00")</x:f>
        <x:v>00:00</x:v>
      </x:c>
      <x:c r="W92" t="n">
        <x:f>IF(S92&gt;0,1,0)</x:f>
        <x:v>0</x:v>
      </x:c>
    </x:row>
    <x:row r="93" ht="21" customHeight="1">
      <x:c r="A93" s="83" t="n">
        <x:v>45821</x:v>
      </x:c>
      <x:c r="B93" t="str">
        <x:v>sexta-feira</x:v>
      </x:c>
      <x:c r="C93" s="85" t="n">
        <x:v>0.54375</x:v>
      </x:c>
      <x:c r="D93" s="85" t="n">
        <x:v>0.6770833333333334</x:v>
      </x:c>
      <x:c r="E93" s="85" t="n">
        <x:v>0.7194444444444444</x:v>
      </x:c>
      <x:c r="F93" s="85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  <x:c r="S93" t="n">
        <x:v>0</x:v>
      </x:c>
      <x:c r="T93" t="str">
        <x:f>TEXT(INT(S93/60),"00")&amp;":"&amp;TEXT(MOD(S93,60),"00")</x:f>
        <x:v>00:00</x:v>
      </x:c>
      <x:c r="W93" t="n">
        <x:f>IF(S93&gt;0,1,0)</x:f>
        <x:v>0</x:v>
      </x:c>
    </x:row>
    <x:row r="94" ht="21" customHeight="1">
      <x:c r="A94" s="83" t="n">
        <x:v>45822</x:v>
      </x:c>
      <x:c r="B94" t="str">
        <x:v>sábado</x:v>
      </x:c>
      <x:c r="C94" s="85"/>
      <x:c r="D94" s="85"/>
      <x:c r="E94" s="85"/>
      <x:c r="F94" s="85"/>
      <x:c r="G94" t="str">
        <x:f>TEXT(INT(K94/60),"00")&amp;":"&amp;TEXT(MOD(K94,60),"00")</x:f>
        <x:v>00:00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00:00</x:v>
      </x:c>
      <x:c r="K94" t="n">
        <x:f>IF(OR(C94="",F94=""),0,ROUND((F94-C94-IF(OR(D94="",E94=""),0,E94-D94))*1440,0))</x:f>
        <x:v>0</x:v>
      </x:c>
      <x:c r="L94" t="n">
        <x:v>240</x:v>
      </x:c>
      <x:c r="M94" t="n">
        <x:f>IF(LEFT(P94,8)="Atestado",0,K94-L94)</x:f>
        <x:v>0</x:v>
      </x:c>
      <x:c r="N94" t="n">
        <x:f>MAX(0,M94)</x:f>
        <x:v>0</x:v>
      </x:c>
      <x:c r="O94" t="n">
        <x:f>MAX(0,-M94)</x:f>
        <x:v>0</x:v>
      </x:c>
      <x:c r="P94" s="119" t="str">
        <x:v>Atestado médico — ausência justificada</x:v>
      </x:c>
      <x:c r="Q94" s="118" t="str">
        <x:v>Imagem de atestado de 14/06/2025 enviada pelo usuário • documento fictício</x:v>
      </x:c>
      <x:c r="R94" s="118" t="str">
        <x:v>2025-06</x:v>
      </x:c>
      <x:c r="S94" s="118" t="n">
        <x:v>240</x:v>
      </x:c>
      <x:c r="T94" s="118" t="str">
        <x:f>TEXT(INT(S94/60),"00")&amp;":"&amp;TEXT(MOD(S94,60),"00")</x:f>
        <x:v>04:00</x:v>
      </x:c>
      <x:c r="U94" s="118" t="str">
        <x:v>Sábado 13h00–17h00</x:v>
      </x:c>
      <x:c r="V94" s="118" t="str">
        <x:v>Atestado informado • 14–16/06/2025; 4h justificadas; sem batidas</x:v>
      </x:c>
      <x:c r="W94" t="n">
        <x:f>IF(S94&gt;0,1,0)</x:f>
        <x:v>1</x:v>
      </x:c>
    </x:row>
    <x:row r="95" ht="21" customHeight="1">
      <x:c r="A95" s="83" t="n">
        <x:v>45824</x:v>
      </x:c>
      <x:c r="B95" t="str">
        <x:v>segunda-feira</x:v>
      </x:c>
      <x:c r="C95" s="85"/>
      <x:c r="D95" s="85"/>
      <x:c r="E95" s="85"/>
      <x:c r="F95" s="85"/>
      <x:c r="G95" t="str">
        <x:f>TEXT(INT(K95/60),"00")&amp;":"&amp;TEXT(MOD(K95,60),"00")</x:f>
        <x:v>00:00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00:00</x:v>
      </x:c>
      <x:c r="K95" t="n">
        <x:f>IF(OR(C95="",F95=""),0,ROUND((F95-C95-IF(OR(D95="",E95=""),0,E95-D95))*1440,0))</x:f>
        <x:v>0</x:v>
      </x:c>
      <x:c r="L95" t="n">
        <x:v>440</x:v>
      </x:c>
      <x:c r="M95" t="n">
        <x:f>IF(LEFT(P95,8)="Atestado",0,K95-L95)</x:f>
        <x:v>0</x:v>
      </x:c>
      <x:c r="N95" t="n">
        <x:f>MAX(0,M95)</x:f>
        <x:v>0</x:v>
      </x:c>
      <x:c r="O95" t="n">
        <x:f>MAX(0,-M95)</x:f>
        <x:v>0</x:v>
      </x:c>
      <x:c r="P95" s="119" t="str">
        <x:v>Atestado médico — ausência justificada</x:v>
      </x:c>
      <x:c r="Q95" s="118" t="str">
        <x:v>Imagem de atestado de 14/06/2025 enviada pelo usuário • documento fictício</x:v>
      </x:c>
      <x:c r="R95" s="118" t="str">
        <x:v>2025-06</x:v>
      </x:c>
      <x:c r="S95" s="118" t="n">
        <x:v>480</x:v>
      </x:c>
      <x:c r="T95" s="118" t="str">
        <x:f>TEXT(INT(S95/60),"00")&amp;":"&amp;TEXT(MOD(S95,60),"00")</x:f>
        <x:v>08:00</x:v>
      </x:c>
      <x:c r="U95" s="118" t="str">
        <x:v>Segunda 13h00–21h20 • abono 8h</x:v>
      </x:c>
      <x:c r="V95" s="118" t="str">
        <x:v>Atestado informado • 14–16/06/2025; 8h justificadas; sem batidas</x:v>
      </x:c>
      <x:c r="W95" t="n">
        <x:f>IF(S95&gt;0,1,0)</x:f>
        <x:v>1</x:v>
      </x:c>
    </x:row>
    <x:row r="96" ht="21" customHeight="1">
      <x:c r="A96" s="83" t="n">
        <x:v>45825</x:v>
      </x:c>
      <x:c r="B96" t="str">
        <x:v>terça-feira</x:v>
      </x:c>
      <x:c r="C96" s="85" t="n">
        <x:v>0.5458333333333333</x:v>
      </x:c>
      <x:c r="D96" s="85" t="n">
        <x:v>0.6722222222222223</x:v>
      </x:c>
      <x:c r="E96" s="85" t="n">
        <x:v>0.7138888888888889</x:v>
      </x:c>
      <x:c r="F96" s="85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  <x:c r="S96" t="n">
        <x:v>0</x:v>
      </x:c>
      <x:c r="T96" t="str">
        <x:f>TEXT(INT(S96/60),"00")&amp;":"&amp;TEXT(MOD(S96,60),"00")</x:f>
        <x:v>00:00</x:v>
      </x:c>
      <x:c r="W96" t="n">
        <x:f>IF(S96&gt;0,1,0)</x:f>
        <x:v>0</x:v>
      </x:c>
    </x:row>
    <x:row r="97" ht="21" customHeight="1">
      <x:c r="A97" s="83" t="n">
        <x:v>45826</x:v>
      </x:c>
      <x:c r="B97" t="str">
        <x:v>quarta-feira</x:v>
      </x:c>
      <x:c r="C97" s="85" t="n">
        <x:v>0.5458333333333333</x:v>
      </x:c>
      <x:c r="D97" s="85" t="n">
        <x:v>0.6805555555555556</x:v>
      </x:c>
      <x:c r="E97" s="85" t="n">
        <x:v>0.7194444444444444</x:v>
      </x:c>
      <x:c r="F97" s="85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  <x:c r="S97" t="n">
        <x:v>0</x:v>
      </x:c>
      <x:c r="T97" t="str">
        <x:f>TEXT(INT(S97/60),"00")&amp;":"&amp;TEXT(MOD(S97,60),"00")</x:f>
        <x:v>00:00</x:v>
      </x:c>
      <x:c r="W97" t="n">
        <x:f>IF(S97&gt;0,1,0)</x:f>
        <x:v>0</x:v>
      </x:c>
    </x:row>
    <x:row r="98" ht="21" customHeight="1">
      <x:c r="A98" s="83" t="n">
        <x:v>45827</x:v>
      </x:c>
      <x:c r="B98" t="str">
        <x:v>quinta-feira</x:v>
      </x:c>
      <x:c r="C98" s="85" t="n">
        <x:v>0.5395833333333333</x:v>
      </x:c>
      <x:c r="D98" s="85" t="n">
        <x:v>0.6798611111111111</x:v>
      </x:c>
      <x:c r="E98" s="85" t="n">
        <x:v>0.7229166666666667</x:v>
      </x:c>
      <x:c r="F98" s="85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  <x:c r="S98" t="n">
        <x:v>0</x:v>
      </x:c>
      <x:c r="T98" t="str">
        <x:f>TEXT(INT(S98/60),"00")&amp;":"&amp;TEXT(MOD(S98,60),"00")</x:f>
        <x:v>00:00</x:v>
      </x:c>
      <x:c r="W98" t="n">
        <x:f>IF(S98&gt;0,1,0)</x:f>
        <x:v>0</x:v>
      </x:c>
    </x:row>
    <x:row r="99" ht="21" customHeight="1">
      <x:c r="A99" s="83" t="n">
        <x:v>45828</x:v>
      </x:c>
      <x:c r="B99" t="str">
        <x:v>sexta-feira</x:v>
      </x:c>
      <x:c r="C99" s="85" t="n">
        <x:v>0.5444444444444444</x:v>
      </x:c>
      <x:c r="D99" s="85" t="n">
        <x:v>0.6694444444444444</x:v>
      </x:c>
      <x:c r="E99" s="85" t="n">
        <x:v>0.7104166666666667</x:v>
      </x:c>
      <x:c r="F99" s="85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  <x:c r="S99" t="n">
        <x:v>0</x:v>
      </x:c>
      <x:c r="T99" t="str">
        <x:f>TEXT(INT(S99/60),"00")&amp;":"&amp;TEXT(MOD(S99,60),"00")</x:f>
        <x:v>00:00</x:v>
      </x:c>
      <x:c r="W99" t="n">
        <x:f>IF(S99&gt;0,1,0)</x:f>
        <x:v>0</x:v>
      </x:c>
    </x:row>
    <x:row r="100" ht="21" customHeight="1">
      <x:c r="A100" s="83" t="n">
        <x:v>45829</x:v>
      </x:c>
      <x:c r="B100" t="str">
        <x:v>sábado</x:v>
      </x:c>
      <x:c r="C100" s="85" t="n">
        <x:v>0.5416666666666666</x:v>
      </x:c>
      <x:c r="D100" s="85"/>
      <x:c r="E100" s="85"/>
      <x:c r="F100" s="85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  <x:c r="S100" t="n">
        <x:v>0</x:v>
      </x:c>
      <x:c r="T100" t="str">
        <x:f>TEXT(INT(S100/60),"00")&amp;":"&amp;TEXT(MOD(S100,60),"00")</x:f>
        <x:v>00:00</x:v>
      </x:c>
      <x:c r="W100" t="n">
        <x:f>IF(S100&gt;0,1,0)</x:f>
        <x:v>0</x:v>
      </x:c>
    </x:row>
    <x:row r="101" ht="21" customHeight="1">
      <x:c r="A101" s="83" t="n">
        <x:v>45831</x:v>
      </x:c>
      <x:c r="B101" t="str">
        <x:v>segunda-feira</x:v>
      </x:c>
      <x:c r="C101" s="85" t="n">
        <x:v>0.5395833333333333</x:v>
      </x:c>
      <x:c r="D101" s="85" t="n">
        <x:v>0.6701388888888888</x:v>
      </x:c>
      <x:c r="E101" s="85" t="n">
        <x:v>0.7118055555555556</x:v>
      </x:c>
      <x:c r="F101" s="85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  <x:c r="S101" t="n">
        <x:v>0</x:v>
      </x:c>
      <x:c r="T101" t="str">
        <x:f>TEXT(INT(S101/60),"00")&amp;":"&amp;TEXT(MOD(S101,60),"00")</x:f>
        <x:v>00:00</x:v>
      </x:c>
      <x:c r="W101" t="n">
        <x:f>IF(S101&gt;0,1,0)</x:f>
        <x:v>0</x:v>
      </x:c>
    </x:row>
    <x:row r="102" ht="21" customHeight="1">
      <x:c r="A102" s="83" t="n">
        <x:v>45832</x:v>
      </x:c>
      <x:c r="B102" t="str">
        <x:v>terça-feira</x:v>
      </x:c>
      <x:c r="C102" s="85" t="n">
        <x:v>0.5409722222222222</x:v>
      </x:c>
      <x:c r="D102" s="85" t="n">
        <x:v>0.6701388888888888</x:v>
      </x:c>
      <x:c r="E102" s="85" t="n">
        <x:v>0.7131944444444445</x:v>
      </x:c>
      <x:c r="F102" s="85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  <x:c r="S102" t="n">
        <x:v>0</x:v>
      </x:c>
      <x:c r="T102" t="str">
        <x:f>TEXT(INT(S102/60),"00")&amp;":"&amp;TEXT(MOD(S102,60),"00")</x:f>
        <x:v>00:00</x:v>
      </x:c>
      <x:c r="W102" t="n">
        <x:f>IF(S102&gt;0,1,0)</x:f>
        <x:v>0</x:v>
      </x:c>
    </x:row>
    <x:row r="103" ht="21" customHeight="1">
      <x:c r="A103" s="83" t="n">
        <x:v>45833</x:v>
      </x:c>
      <x:c r="B103" t="str">
        <x:v>quarta-feira</x:v>
      </x:c>
      <x:c r="C103" s="85" t="n">
        <x:v>0.5458333333333333</x:v>
      </x:c>
      <x:c r="D103" s="85" t="n">
        <x:v>0.6694444444444444</x:v>
      </x:c>
      <x:c r="E103" s="85" t="n">
        <x:v>0.7131944444444445</x:v>
      </x:c>
      <x:c r="F103" s="85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  <x:c r="S103" t="n">
        <x:v>0</x:v>
      </x:c>
      <x:c r="T103" t="str">
        <x:f>TEXT(INT(S103/60),"00")&amp;":"&amp;TEXT(MOD(S103,60),"00")</x:f>
        <x:v>00:00</x:v>
      </x:c>
      <x:c r="W103" t="n">
        <x:f>IF(S103&gt;0,1,0)</x:f>
        <x:v>0</x:v>
      </x:c>
    </x:row>
    <x:row r="104" ht="21" customHeight="1">
      <x:c r="A104" s="83" t="n">
        <x:v>45834</x:v>
      </x:c>
      <x:c r="B104" t="str">
        <x:v>quinta-feira</x:v>
      </x:c>
      <x:c r="C104" s="85" t="n">
        <x:v>0.54375</x:v>
      </x:c>
      <x:c r="D104" s="85" t="n">
        <x:v>0.6763888888888889</x:v>
      </x:c>
      <x:c r="E104" s="85" t="n">
        <x:v>0.7159722222222222</x:v>
      </x:c>
      <x:c r="F104" s="85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  <x:c r="S104" t="n">
        <x:v>0</x:v>
      </x:c>
      <x:c r="T104" t="str">
        <x:f>TEXT(INT(S104/60),"00")&amp;":"&amp;TEXT(MOD(S104,60),"00")</x:f>
        <x:v>00:00</x:v>
      </x:c>
      <x:c r="W104" t="n">
        <x:f>IF(S104&gt;0,1,0)</x:f>
        <x:v>0</x:v>
      </x:c>
    </x:row>
    <x:row r="105" ht="21" customHeight="1">
      <x:c r="A105" s="83" t="n">
        <x:v>45835</x:v>
      </x:c>
      <x:c r="B105" t="str">
        <x:v>sexta-feira</x:v>
      </x:c>
      <x:c r="C105" s="85" t="n">
        <x:v>0.5375</x:v>
      </x:c>
      <x:c r="D105" s="85" t="n">
        <x:v>0.6777777777777778</x:v>
      </x:c>
      <x:c r="E105" s="85" t="n">
        <x:v>0.71875</x:v>
      </x:c>
      <x:c r="F105" s="85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  <x:c r="S105" t="n">
        <x:v>0</x:v>
      </x:c>
      <x:c r="T105" t="str">
        <x:f>TEXT(INT(S105/60),"00")&amp;":"&amp;TEXT(MOD(S105,60),"00")</x:f>
        <x:v>00:00</x:v>
      </x:c>
      <x:c r="W105" t="n">
        <x:f>IF(S105&gt;0,1,0)</x:f>
        <x:v>0</x:v>
      </x:c>
    </x:row>
    <x:row r="106" ht="21" customHeight="1">
      <x:c r="A106" s="83" t="n">
        <x:v>45836</x:v>
      </x:c>
      <x:c r="B106" t="str">
        <x:v>sábado</x:v>
      </x:c>
      <x:c r="C106" s="85" t="n">
        <x:v>0.5423611111111111</x:v>
      </x:c>
      <x:c r="D106" s="85"/>
      <x:c r="E106" s="85"/>
      <x:c r="F106" s="85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  <x:c r="S106" t="n">
        <x:v>0</x:v>
      </x:c>
      <x:c r="T106" t="str">
        <x:f>TEXT(INT(S106/60),"00")&amp;":"&amp;TEXT(MOD(S106,60),"00")</x:f>
        <x:v>00:00</x:v>
      </x:c>
      <x:c r="W106" t="n">
        <x:f>IF(S106&gt;0,1,0)</x:f>
        <x:v>0</x:v>
      </x:c>
    </x:row>
    <x:row r="107" ht="21" customHeight="1">
      <x:c r="A107" s="83" t="n">
        <x:v>45838</x:v>
      </x:c>
      <x:c r="B107" t="str">
        <x:v>segunda-feira</x:v>
      </x:c>
      <x:c r="C107" s="85" t="n">
        <x:v>0.5375</x:v>
      </x:c>
      <x:c r="D107" s="85" t="n">
        <x:v>0.6701388888888888</x:v>
      </x:c>
      <x:c r="E107" s="85" t="n">
        <x:v>0.7118055555555556</x:v>
      </x:c>
      <x:c r="F107" s="85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  <x:c r="S107" t="n">
        <x:v>0</x:v>
      </x:c>
      <x:c r="T107" t="str">
        <x:f>TEXT(INT(S107/60),"00")&amp;":"&amp;TEXT(MOD(S107,60),"00")</x:f>
        <x:v>00:00</x:v>
      </x:c>
      <x:c r="W107" t="n">
        <x:f>IF(S107&gt;0,1,0)</x:f>
        <x:v>0</x:v>
      </x:c>
    </x:row>
    <x:row r="108" ht="21" customHeight="1">
      <x:c r="A108" s="83" t="n">
        <x:v>45839</x:v>
      </x:c>
      <x:c r="B108" t="str">
        <x:v>terça-feira</x:v>
      </x:c>
      <x:c r="C108" s="85" t="n">
        <x:v>0.5458333333333333</x:v>
      </x:c>
      <x:c r="D108" s="85" t="n">
        <x:v>0.6777777777777778</x:v>
      </x:c>
      <x:c r="E108" s="85" t="n">
        <x:v>0.7180555555555556</x:v>
      </x:c>
      <x:c r="F108" s="85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  <x:c r="S108" t="n">
        <x:v>0</x:v>
      </x:c>
      <x:c r="T108" t="str">
        <x:f>TEXT(INT(S108/60),"00")&amp;":"&amp;TEXT(MOD(S108,60),"00")</x:f>
        <x:v>00:00</x:v>
      </x:c>
      <x:c r="W108" t="n">
        <x:f>IF(S108&gt;0,1,0)</x:f>
        <x:v>0</x:v>
      </x:c>
    </x:row>
    <x:row r="109" ht="21" customHeight="1">
      <x:c r="A109" s="83" t="n">
        <x:v>45840</x:v>
      </x:c>
      <x:c r="B109" t="str">
        <x:v>quarta-feira</x:v>
      </x:c>
      <x:c r="C109" s="85" t="n">
        <x:v>0.5375</x:v>
      </x:c>
      <x:c r="D109" s="85" t="n">
        <x:v>0.6729166666666667</x:v>
      </x:c>
      <x:c r="E109" s="85" t="n">
        <x:v>0.7118055555555556</x:v>
      </x:c>
      <x:c r="F109" s="85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  <x:c r="S109" t="n">
        <x:v>0</x:v>
      </x:c>
      <x:c r="T109" t="str">
        <x:f>TEXT(INT(S109/60),"00")&amp;":"&amp;TEXT(MOD(S109,60),"00")</x:f>
        <x:v>00:00</x:v>
      </x:c>
      <x:c r="W109" t="n">
        <x:f>IF(S109&gt;0,1,0)</x:f>
        <x:v>0</x:v>
      </x:c>
    </x:row>
    <x:row r="110" ht="21" customHeight="1">
      <x:c r="A110" s="83" t="n">
        <x:v>45841</x:v>
      </x:c>
      <x:c r="B110" t="str">
        <x:v>quinta-feira</x:v>
      </x:c>
      <x:c r="C110" s="85" t="n">
        <x:v>0.5395833333333333</x:v>
      </x:c>
      <x:c r="D110" s="85" t="n">
        <x:v>0.6784722222222223</x:v>
      </x:c>
      <x:c r="E110" s="85" t="n">
        <x:v>0.7229166666666667</x:v>
      </x:c>
      <x:c r="F110" s="85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  <x:c r="S110" t="n">
        <x:v>0</x:v>
      </x:c>
      <x:c r="T110" t="str">
        <x:f>TEXT(INT(S110/60),"00")&amp;":"&amp;TEXT(MOD(S110,60),"00")</x:f>
        <x:v>00:00</x:v>
      </x:c>
      <x:c r="W110" t="n">
        <x:f>IF(S110&gt;0,1,0)</x:f>
        <x:v>0</x:v>
      </x:c>
    </x:row>
    <x:row r="111" ht="21" customHeight="1">
      <x:c r="A111" s="83" t="n">
        <x:v>45842</x:v>
      </x:c>
      <x:c r="B111" t="str">
        <x:v>sexta-feira</x:v>
      </x:c>
      <x:c r="C111" s="85" t="n">
        <x:v>0.5451388888888888</x:v>
      </x:c>
      <x:c r="D111" s="85" t="n">
        <x:v>0.6666666666666666</x:v>
      </x:c>
      <x:c r="E111" s="85" t="n">
        <x:v>0.7055555555555556</x:v>
      </x:c>
      <x:c r="F111" s="85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  <x:c r="S111" t="n">
        <x:v>0</x:v>
      </x:c>
      <x:c r="T111" t="str">
        <x:f>TEXT(INT(S111/60),"00")&amp;":"&amp;TEXT(MOD(S111,60),"00")</x:f>
        <x:v>00:00</x:v>
      </x:c>
      <x:c r="W111" t="n">
        <x:f>IF(S111&gt;0,1,0)</x:f>
        <x:v>0</x:v>
      </x:c>
    </x:row>
    <x:row r="112" ht="21" customHeight="1">
      <x:c r="A112" s="83" t="n">
        <x:v>45843</x:v>
      </x:c>
      <x:c r="B112" t="str">
        <x:v>sábado</x:v>
      </x:c>
      <x:c r="C112" s="85" t="n">
        <x:v>0.5416666666666666</x:v>
      </x:c>
      <x:c r="D112" s="85"/>
      <x:c r="E112" s="85"/>
      <x:c r="F112" s="85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  <x:c r="S112" t="n">
        <x:v>0</x:v>
      </x:c>
      <x:c r="T112" t="str">
        <x:f>TEXT(INT(S112/60),"00")&amp;":"&amp;TEXT(MOD(S112,60),"00")</x:f>
        <x:v>00:00</x:v>
      </x:c>
      <x:c r="W112" t="n">
        <x:f>IF(S112&gt;0,1,0)</x:f>
        <x:v>0</x:v>
      </x:c>
    </x:row>
    <x:row r="113" ht="21" customHeight="1">
      <x:c r="A113" s="83" t="n">
        <x:v>45845</x:v>
      </x:c>
      <x:c r="B113" t="str">
        <x:v>segunda-feira</x:v>
      </x:c>
      <x:c r="C113" s="85" t="n">
        <x:v>0.5451388888888888</x:v>
      </x:c>
      <x:c r="D113" s="85" t="n">
        <x:v>0.6784722222222223</x:v>
      </x:c>
      <x:c r="E113" s="85" t="n">
        <x:v>0.7208333333333333</x:v>
      </x:c>
      <x:c r="F113" s="85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  <x:c r="S113" t="n">
        <x:v>0</x:v>
      </x:c>
      <x:c r="T113" t="str">
        <x:f>TEXT(INT(S113/60),"00")&amp;":"&amp;TEXT(MOD(S113,60),"00")</x:f>
        <x:v>00:00</x:v>
      </x:c>
      <x:c r="W113" t="n">
        <x:f>IF(S113&gt;0,1,0)</x:f>
        <x:v>0</x:v>
      </x:c>
    </x:row>
    <x:row r="114" ht="21" customHeight="1">
      <x:c r="A114" s="83" t="n">
        <x:v>45846</x:v>
      </x:c>
      <x:c r="B114" t="str">
        <x:v>terça-feira</x:v>
      </x:c>
      <x:c r="C114" s="85" t="n">
        <x:v>0.54375</x:v>
      </x:c>
      <x:c r="D114" s="85" t="n">
        <x:v>0.6701388888888888</x:v>
      </x:c>
      <x:c r="E114" s="85" t="n">
        <x:v>0.7104166666666667</x:v>
      </x:c>
      <x:c r="F114" s="85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  <x:c r="S114" t="n">
        <x:v>0</x:v>
      </x:c>
      <x:c r="T114" t="str">
        <x:f>TEXT(INT(S114/60),"00")&amp;":"&amp;TEXT(MOD(S114,60),"00")</x:f>
        <x:v>00:00</x:v>
      </x:c>
      <x:c r="W114" t="n">
        <x:f>IF(S114&gt;0,1,0)</x:f>
        <x:v>0</x:v>
      </x:c>
    </x:row>
    <x:row r="115" ht="21" customHeight="1">
      <x:c r="A115" s="83" t="n">
        <x:v>45847</x:v>
      </x:c>
      <x:c r="B115" t="str">
        <x:v>quarta-feira</x:v>
      </x:c>
      <x:c r="C115" s="85" t="n">
        <x:v>0.5395833333333333</x:v>
      </x:c>
      <x:c r="D115" s="85" t="n">
        <x:v>0.6756944444444445</x:v>
      </x:c>
      <x:c r="E115" s="85" t="n">
        <x:v>0.71875</x:v>
      </x:c>
      <x:c r="F115" s="85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  <x:c r="S115" t="n">
        <x:v>0</x:v>
      </x:c>
      <x:c r="T115" t="str">
        <x:f>TEXT(INT(S115/60),"00")&amp;":"&amp;TEXT(MOD(S115,60),"00")</x:f>
        <x:v>00:00</x:v>
      </x:c>
      <x:c r="W115" t="n">
        <x:f>IF(S115&gt;0,1,0)</x:f>
        <x:v>0</x:v>
      </x:c>
    </x:row>
    <x:row r="116" ht="21" customHeight="1">
      <x:c r="A116" s="83" t="n">
        <x:v>45848</x:v>
      </x:c>
      <x:c r="B116" t="str">
        <x:v>quinta-feira</x:v>
      </x:c>
      <x:c r="C116" s="85" t="n">
        <x:v>0.5458333333333333</x:v>
      </x:c>
      <x:c r="D116" s="85" t="n">
        <x:v>0.6701388888888888</x:v>
      </x:c>
      <x:c r="E116" s="85" t="n">
        <x:v>0.7118055555555556</x:v>
      </x:c>
      <x:c r="F116" s="85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  <x:c r="S116" t="n">
        <x:v>0</x:v>
      </x:c>
      <x:c r="T116" t="str">
        <x:f>TEXT(INT(S116/60),"00")&amp;":"&amp;TEXT(MOD(S116,60),"00")</x:f>
        <x:v>00:00</x:v>
      </x:c>
      <x:c r="W116" t="n">
        <x:f>IF(S116&gt;0,1,0)</x:f>
        <x:v>0</x:v>
      </x:c>
    </x:row>
    <x:row r="117" ht="21" customHeight="1">
      <x:c r="A117" s="83" t="n">
        <x:v>45849</x:v>
      </x:c>
      <x:c r="B117" t="str">
        <x:v>sexta-feira</x:v>
      </x:c>
      <x:c r="C117" s="85" t="n">
        <x:v>0.5451388888888888</x:v>
      </x:c>
      <x:c r="D117" s="85" t="n">
        <x:v>0.66875</x:v>
      </x:c>
      <x:c r="E117" s="85" t="n">
        <x:v>0.7125</x:v>
      </x:c>
      <x:c r="F117" s="85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  <x:c r="S117" t="n">
        <x:v>0</x:v>
      </x:c>
      <x:c r="T117" t="str">
        <x:f>TEXT(INT(S117/60),"00")&amp;":"&amp;TEXT(MOD(S117,60),"00")</x:f>
        <x:v>00:00</x:v>
      </x:c>
      <x:c r="W117" t="n">
        <x:f>IF(S117&gt;0,1,0)</x:f>
        <x:v>0</x:v>
      </x:c>
    </x:row>
    <x:row r="118" ht="21" customHeight="1">
      <x:c r="A118" s="83" t="n">
        <x:v>45850</x:v>
      </x:c>
      <x:c r="B118" t="str">
        <x:v>sábado</x:v>
      </x:c>
      <x:c r="C118" s="85" t="n">
        <x:v>0.5375</x:v>
      </x:c>
      <x:c r="D118" s="85"/>
      <x:c r="E118" s="85"/>
      <x:c r="F118" s="85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  <x:c r="S118" t="n">
        <x:v>0</x:v>
      </x:c>
      <x:c r="T118" t="str">
        <x:f>TEXT(INT(S118/60),"00")&amp;":"&amp;TEXT(MOD(S118,60),"00")</x:f>
        <x:v>00:00</x:v>
      </x:c>
      <x:c r="W118" t="n">
        <x:f>IF(S118&gt;0,1,0)</x:f>
        <x:v>0</x:v>
      </x:c>
    </x:row>
    <x:row r="119" ht="21" customHeight="1">
      <x:c r="A119" s="83" t="n">
        <x:v>45852</x:v>
      </x:c>
      <x:c r="B119" t="str">
        <x:v>segunda-feira</x:v>
      </x:c>
      <x:c r="C119" s="85" t="n">
        <x:v>0.5472222222222223</x:v>
      </x:c>
      <x:c r="D119" s="85" t="n">
        <x:v>0.675</x:v>
      </x:c>
      <x:c r="E119" s="85" t="n">
        <x:v>0.7138888888888889</x:v>
      </x:c>
      <x:c r="F119" s="85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  <x:c r="S119" t="n">
        <x:v>0</x:v>
      </x:c>
      <x:c r="T119" t="str">
        <x:f>TEXT(INT(S119/60),"00")&amp;":"&amp;TEXT(MOD(S119,60),"00")</x:f>
        <x:v>00:00</x:v>
      </x:c>
      <x:c r="W119" t="n">
        <x:f>IF(S119&gt;0,1,0)</x:f>
        <x:v>0</x:v>
      </x:c>
    </x:row>
    <x:row r="120" ht="21" customHeight="1">
      <x:c r="A120" s="83" t="n">
        <x:v>45853</x:v>
      </x:c>
      <x:c r="B120" t="str">
        <x:v>terça-feira</x:v>
      </x:c>
      <x:c r="C120" s="85" t="n">
        <x:v>0.5388888888888889</x:v>
      </x:c>
      <x:c r="D120" s="85" t="n">
        <x:v>0.6680555555555555</x:v>
      </x:c>
      <x:c r="E120" s="85" t="n">
        <x:v>0.7104166666666667</x:v>
      </x:c>
      <x:c r="F120" s="85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  <x:c r="S120" t="n">
        <x:v>0</x:v>
      </x:c>
      <x:c r="T120" t="str">
        <x:f>TEXT(INT(S120/60),"00")&amp;":"&amp;TEXT(MOD(S120,60),"00")</x:f>
        <x:v>00:00</x:v>
      </x:c>
      <x:c r="W120" t="n">
        <x:f>IF(S120&gt;0,1,0)</x:f>
        <x:v>0</x:v>
      </x:c>
    </x:row>
    <x:row r="121" ht="21" customHeight="1">
      <x:c r="A121" s="83" t="n">
        <x:v>45854</x:v>
      </x:c>
      <x:c r="B121" t="str">
        <x:v>quarta-feira</x:v>
      </x:c>
      <x:c r="C121" s="85" t="n">
        <x:v>0.5472222222222223</x:v>
      </x:c>
      <x:c r="D121" s="85" t="n">
        <x:v>0.6729166666666667</x:v>
      </x:c>
      <x:c r="E121" s="85" t="n">
        <x:v>0.7166666666666667</x:v>
      </x:c>
      <x:c r="F121" s="85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  <x:c r="S121" t="n">
        <x:v>0</x:v>
      </x:c>
      <x:c r="T121" t="str">
        <x:f>TEXT(INT(S121/60),"00")&amp;":"&amp;TEXT(MOD(S121,60),"00")</x:f>
        <x:v>00:00</x:v>
      </x:c>
      <x:c r="W121" t="n">
        <x:f>IF(S121&gt;0,1,0)</x:f>
        <x:v>0</x:v>
      </x:c>
    </x:row>
    <x:row r="122" ht="21" customHeight="1">
      <x:c r="A122" s="83" t="n">
        <x:v>45855</x:v>
      </x:c>
      <x:c r="B122" t="str">
        <x:v>quinta-feira</x:v>
      </x:c>
      <x:c r="C122" s="85" t="n">
        <x:v>0.5472222222222223</x:v>
      </x:c>
      <x:c r="D122" s="85" t="n">
        <x:v>0.68125</x:v>
      </x:c>
      <x:c r="E122" s="85" t="n">
        <x:v>0.7222222222222222</x:v>
      </x:c>
      <x:c r="F122" s="85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  <x:c r="S122" t="n">
        <x:v>0</x:v>
      </x:c>
      <x:c r="T122" t="str">
        <x:f>TEXT(INT(S122/60),"00")&amp;":"&amp;TEXT(MOD(S122,60),"00")</x:f>
        <x:v>00:00</x:v>
      </x:c>
      <x:c r="W122" t="n">
        <x:f>IF(S122&gt;0,1,0)</x:f>
        <x:v>0</x:v>
      </x:c>
    </x:row>
    <x:row r="123" ht="21" customHeight="1">
      <x:c r="A123" s="83" t="n">
        <x:v>45856</x:v>
      </x:c>
      <x:c r="B123" t="str">
        <x:v>sexta-feira</x:v>
      </x:c>
      <x:c r="C123" s="85" t="n">
        <x:v>0.5395833333333333</x:v>
      </x:c>
      <x:c r="D123" s="85" t="n">
        <x:v>0.6701388888888888</x:v>
      </x:c>
      <x:c r="E123" s="85" t="n">
        <x:v>0.7138888888888889</x:v>
      </x:c>
      <x:c r="F123" s="85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  <x:c r="S123" t="n">
        <x:v>0</x:v>
      </x:c>
      <x:c r="T123" t="str">
        <x:f>TEXT(INT(S123/60),"00")&amp;":"&amp;TEXT(MOD(S123,60),"00")</x:f>
        <x:v>00:00</x:v>
      </x:c>
      <x:c r="W123" t="n">
        <x:f>IF(S123&gt;0,1,0)</x:f>
        <x:v>0</x:v>
      </x:c>
    </x:row>
    <x:row r="124" ht="21" customHeight="1">
      <x:c r="A124" s="83" t="n">
        <x:v>45857</x:v>
      </x:c>
      <x:c r="B124" t="str">
        <x:v>sábado</x:v>
      </x:c>
      <x:c r="C124" s="85" t="n">
        <x:v>0.5423611111111111</x:v>
      </x:c>
      <x:c r="D124" s="85"/>
      <x:c r="E124" s="85"/>
      <x:c r="F124" s="85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  <x:c r="S124" t="n">
        <x:v>0</x:v>
      </x:c>
      <x:c r="T124" t="str">
        <x:f>TEXT(INT(S124/60),"00")&amp;":"&amp;TEXT(MOD(S124,60),"00")</x:f>
        <x:v>00:00</x:v>
      </x:c>
      <x:c r="W124" t="n">
        <x:f>IF(S124&gt;0,1,0)</x:f>
        <x:v>0</x:v>
      </x:c>
    </x:row>
    <x:row r="125" ht="21" customHeight="1">
      <x:c r="A125" s="83" t="n">
        <x:v>45859</x:v>
      </x:c>
      <x:c r="B125" t="str">
        <x:v>segunda-feira</x:v>
      </x:c>
      <x:c r="C125" s="85" t="n">
        <x:v>0.5458333333333333</x:v>
      </x:c>
      <x:c r="D125" s="85" t="n">
        <x:v>0.675</x:v>
      </x:c>
      <x:c r="E125" s="85" t="n">
        <x:v>0.7159722222222222</x:v>
      </x:c>
      <x:c r="F125" s="85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  <x:c r="S125" t="n">
        <x:v>0</x:v>
      </x:c>
      <x:c r="T125" t="str">
        <x:f>TEXT(INT(S125/60),"00")&amp;":"&amp;TEXT(MOD(S125,60),"00")</x:f>
        <x:v>00:00</x:v>
      </x:c>
      <x:c r="W125" t="n">
        <x:f>IF(S125&gt;0,1,0)</x:f>
        <x:v>0</x:v>
      </x:c>
    </x:row>
    <x:row r="126" ht="21" customHeight="1">
      <x:c r="A126" s="83" t="n">
        <x:v>45860</x:v>
      </x:c>
      <x:c r="B126" t="str">
        <x:v>terça-feira</x:v>
      </x:c>
      <x:c r="C126" s="85" t="n">
        <x:v>0.5444444444444444</x:v>
      </x:c>
      <x:c r="D126" s="85" t="n">
        <x:v>0.6729166666666667</x:v>
      </x:c>
      <x:c r="E126" s="85" t="n">
        <x:v>0.7152777777777778</x:v>
      </x:c>
      <x:c r="F126" s="85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  <x:c r="S126" t="n">
        <x:v>0</x:v>
      </x:c>
      <x:c r="T126" t="str">
        <x:f>TEXT(INT(S126/60),"00")&amp;":"&amp;TEXT(MOD(S126,60),"00")</x:f>
        <x:v>00:00</x:v>
      </x:c>
      <x:c r="W126" t="n">
        <x:f>IF(S126&gt;0,1,0)</x:f>
        <x:v>0</x:v>
      </x:c>
    </x:row>
    <x:row r="127" ht="21" customHeight="1">
      <x:c r="A127" s="83" t="n">
        <x:v>45861</x:v>
      </x:c>
      <x:c r="B127" t="str">
        <x:v>quarta-feira</x:v>
      </x:c>
      <x:c r="C127" s="85" t="n">
        <x:v>0.54375</x:v>
      </x:c>
      <x:c r="D127" s="85" t="n">
        <x:v>0.675</x:v>
      </x:c>
      <x:c r="E127" s="85" t="n">
        <x:v>0.7145833333333333</x:v>
      </x:c>
      <x:c r="F127" s="85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  <x:c r="S127" t="n">
        <x:v>0</x:v>
      </x:c>
      <x:c r="T127" t="str">
        <x:f>TEXT(INT(S127/60),"00")&amp;":"&amp;TEXT(MOD(S127,60),"00")</x:f>
        <x:v>00:00</x:v>
      </x:c>
      <x:c r="W127" t="n">
        <x:f>IF(S127&gt;0,1,0)</x:f>
        <x:v>0</x:v>
      </x:c>
    </x:row>
    <x:row r="128" ht="21" customHeight="1">
      <x:c r="A128" s="83" t="n">
        <x:v>45862</x:v>
      </x:c>
      <x:c r="B128" t="str">
        <x:v>quinta-feira</x:v>
      </x:c>
      <x:c r="C128" s="85" t="n">
        <x:v>0.5451388888888888</x:v>
      </x:c>
      <x:c r="D128" s="85" t="n">
        <x:v>0.6756944444444445</x:v>
      </x:c>
      <x:c r="E128" s="85" t="n">
        <x:v>0.7166666666666667</x:v>
      </x:c>
      <x:c r="F128" s="85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  <x:c r="S128" t="n">
        <x:v>0</x:v>
      </x:c>
      <x:c r="T128" t="str">
        <x:f>TEXT(INT(S128/60),"00")&amp;":"&amp;TEXT(MOD(S128,60),"00")</x:f>
        <x:v>00:00</x:v>
      </x:c>
      <x:c r="W128" t="n">
        <x:f>IF(S128&gt;0,1,0)</x:f>
        <x:v>0</x:v>
      </x:c>
    </x:row>
    <x:row r="129" ht="21" customHeight="1">
      <x:c r="A129" s="83" t="n">
        <x:v>45863</x:v>
      </x:c>
      <x:c r="B129" t="str">
        <x:v>sexta-feira</x:v>
      </x:c>
      <x:c r="C129" s="85" t="n">
        <x:v>0.54375</x:v>
      </x:c>
      <x:c r="D129" s="85" t="n">
        <x:v>0.66875</x:v>
      </x:c>
      <x:c r="E129" s="85" t="n">
        <x:v>0.7097222222222223</x:v>
      </x:c>
      <x:c r="F129" s="85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  <x:c r="S129" t="n">
        <x:v>0</x:v>
      </x:c>
      <x:c r="T129" t="str">
        <x:f>TEXT(INT(S129/60),"00")&amp;":"&amp;TEXT(MOD(S129,60),"00")</x:f>
        <x:v>00:00</x:v>
      </x:c>
      <x:c r="W129" t="n">
        <x:f>IF(S129&gt;0,1,0)</x:f>
        <x:v>0</x:v>
      </x:c>
    </x:row>
    <x:row r="130" ht="21" customHeight="1">
      <x:c r="A130" s="83" t="n">
        <x:v>45864</x:v>
      </x:c>
      <x:c r="B130" t="str">
        <x:v>sábado</x:v>
      </x:c>
      <x:c r="C130" s="85" t="n">
        <x:v>0.5388888888888889</x:v>
      </x:c>
      <x:c r="D130" s="85"/>
      <x:c r="E130" s="85"/>
      <x:c r="F130" s="85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  <x:c r="S130" t="n">
        <x:v>0</x:v>
      </x:c>
      <x:c r="T130" t="str">
        <x:f>TEXT(INT(S130/60),"00")&amp;":"&amp;TEXT(MOD(S130,60),"00")</x:f>
        <x:v>00:00</x:v>
      </x:c>
      <x:c r="W130" t="n">
        <x:f>IF(S130&gt;0,1,0)</x:f>
        <x:v>0</x:v>
      </x:c>
    </x:row>
    <x:row r="131" ht="21" customHeight="1">
      <x:c r="A131" s="83" t="n">
        <x:v>45866</x:v>
      </x:c>
      <x:c r="B131" t="str">
        <x:v>segunda-feira</x:v>
      </x:c>
      <x:c r="C131" s="85" t="n">
        <x:v>0.5465277777777777</x:v>
      </x:c>
      <x:c r="D131" s="85" t="n">
        <x:v>0.6715277777777777</x:v>
      </x:c>
      <x:c r="E131" s="85" t="n">
        <x:v>0.7145833333333333</x:v>
      </x:c>
      <x:c r="F131" s="85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  <x:c r="S131" t="n">
        <x:v>0</x:v>
      </x:c>
      <x:c r="T131" t="str">
        <x:f>TEXT(INT(S131/60),"00")&amp;":"&amp;TEXT(MOD(S131,60),"00")</x:f>
        <x:v>00:00</x:v>
      </x:c>
      <x:c r="W131" t="n">
        <x:f>IF(S131&gt;0,1,0)</x:f>
        <x:v>0</x:v>
      </x:c>
    </x:row>
    <x:row r="132" ht="21" customHeight="1">
      <x:c r="A132" s="83" t="n">
        <x:v>45867</x:v>
      </x:c>
      <x:c r="B132" t="str">
        <x:v>terça-feira</x:v>
      </x:c>
      <x:c r="C132" s="85" t="n">
        <x:v>0.5451388888888888</x:v>
      </x:c>
      <x:c r="D132" s="85" t="n">
        <x:v>0.6708333333333333</x:v>
      </x:c>
      <x:c r="E132" s="85" t="n">
        <x:v>0.7111111111111111</x:v>
      </x:c>
      <x:c r="F132" s="85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  <x:c r="S132" t="n">
        <x:v>0</x:v>
      </x:c>
      <x:c r="T132" t="str">
        <x:f>TEXT(INT(S132/60),"00")&amp;":"&amp;TEXT(MOD(S132,60),"00")</x:f>
        <x:v>00:00</x:v>
      </x:c>
      <x:c r="W132" t="n">
        <x:f>IF(S132&gt;0,1,0)</x:f>
        <x:v>0</x:v>
      </x:c>
    </x:row>
    <x:row r="133" ht="21" customHeight="1">
      <x:c r="A133" s="83" t="n">
        <x:v>45868</x:v>
      </x:c>
      <x:c r="B133" t="str">
        <x:v>quarta-feira</x:v>
      </x:c>
      <x:c r="C133" s="85" t="n">
        <x:v>0.5381944444444444</x:v>
      </x:c>
      <x:c r="D133" s="85" t="n">
        <x:v>0.6701388888888888</x:v>
      </x:c>
      <x:c r="E133" s="85" t="n">
        <x:v>0.7145833333333333</x:v>
      </x:c>
      <x:c r="F133" s="85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  <x:c r="S133" t="n">
        <x:v>0</x:v>
      </x:c>
      <x:c r="T133" t="str">
        <x:f>TEXT(INT(S133/60),"00")&amp;":"&amp;TEXT(MOD(S133,60),"00")</x:f>
        <x:v>00:00</x:v>
      </x:c>
      <x:c r="W133" t="n">
        <x:f>IF(S133&gt;0,1,0)</x:f>
        <x:v>0</x:v>
      </x:c>
    </x:row>
    <x:row r="134" ht="21" customHeight="1">
      <x:c r="A134" s="83" t="n">
        <x:v>45869</x:v>
      </x:c>
      <x:c r="B134" t="str">
        <x:v>quinta-feira</x:v>
      </x:c>
      <x:c r="C134" s="85" t="n">
        <x:v>0.5423611111111111</x:v>
      </x:c>
      <x:c r="D134" s="85" t="n">
        <x:v>0.6722222222222223</x:v>
      </x:c>
      <x:c r="E134" s="85" t="n">
        <x:v>0.7166666666666667</x:v>
      </x:c>
      <x:c r="F134" s="85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  <x:c r="S134" t="n">
        <x:v>0</x:v>
      </x:c>
      <x:c r="T134" t="str">
        <x:f>TEXT(INT(S134/60),"00")&amp;":"&amp;TEXT(MOD(S134,60),"00")</x:f>
        <x:v>00:00</x:v>
      </x:c>
      <x:c r="W134" t="n">
        <x:f>IF(S134&gt;0,1,0)</x:f>
        <x:v>0</x:v>
      </x:c>
    </x:row>
    <x:row r="135" ht="21" customHeight="1">
      <x:c r="A135" s="83" t="n">
        <x:v>45870</x:v>
      </x:c>
      <x:c r="B135" t="str">
        <x:v>sexta-feira</x:v>
      </x:c>
      <x:c r="C135" s="85" t="n">
        <x:v>0.5430555555555555</x:v>
      </x:c>
      <x:c r="D135" s="85" t="n">
        <x:v>0.6784722222222223</x:v>
      </x:c>
      <x:c r="E135" s="85" t="n">
        <x:v>0.7222222222222222</x:v>
      </x:c>
      <x:c r="F135" s="85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  <x:c r="S135" t="n">
        <x:v>0</x:v>
      </x:c>
      <x:c r="T135" t="str">
        <x:f>TEXT(INT(S135/60),"00")&amp;":"&amp;TEXT(MOD(S135,60),"00")</x:f>
        <x:v>00:00</x:v>
      </x:c>
      <x:c r="W135" t="n">
        <x:f>IF(S135&gt;0,1,0)</x:f>
        <x:v>0</x:v>
      </x:c>
    </x:row>
    <x:row r="136" ht="21" customHeight="1">
      <x:c r="A136" s="83" t="n">
        <x:v>45871</x:v>
      </x:c>
      <x:c r="B136" t="str">
        <x:v>sábado</x:v>
      </x:c>
      <x:c r="C136" s="85" t="n">
        <x:v>0.5458333333333333</x:v>
      </x:c>
      <x:c r="D136" s="85"/>
      <x:c r="E136" s="85"/>
      <x:c r="F136" s="85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  <x:c r="S136" t="n">
        <x:v>0</x:v>
      </x:c>
      <x:c r="T136" t="str">
        <x:f>TEXT(INT(S136/60),"00")&amp;":"&amp;TEXT(MOD(S136,60),"00")</x:f>
        <x:v>00:00</x:v>
      </x:c>
      <x:c r="W136" t="n">
        <x:f>IF(S136&gt;0,1,0)</x:f>
        <x:v>0</x:v>
      </x:c>
    </x:row>
    <x:row r="137" ht="21" customHeight="1">
      <x:c r="A137" s="83" t="n">
        <x:v>45873</x:v>
      </x:c>
      <x:c r="B137" t="str">
        <x:v>segunda-feira</x:v>
      </x:c>
      <x:c r="C137" s="85" t="n">
        <x:v>0.5375</x:v>
      </x:c>
      <x:c r="D137" s="85" t="n">
        <x:v>0.6680555555555555</x:v>
      </x:c>
      <x:c r="E137" s="85" t="n">
        <x:v>0.7118055555555556</x:v>
      </x:c>
      <x:c r="F137" s="85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  <x:c r="S137" t="n">
        <x:v>0</x:v>
      </x:c>
      <x:c r="T137" t="str">
        <x:f>TEXT(INT(S137/60),"00")&amp;":"&amp;TEXT(MOD(S137,60),"00")</x:f>
        <x:v>00:00</x:v>
      </x:c>
      <x:c r="W137" t="n">
        <x:f>IF(S137&gt;0,1,0)</x:f>
        <x:v>0</x:v>
      </x:c>
    </x:row>
    <x:row r="138" ht="21" customHeight="1">
      <x:c r="A138" s="83" t="n">
        <x:v>45874</x:v>
      </x:c>
      <x:c r="B138" t="str">
        <x:v>terça-feira</x:v>
      </x:c>
      <x:c r="C138" s="85" t="n">
        <x:v>0.5458333333333333</x:v>
      </x:c>
      <x:c r="D138" s="85" t="n">
        <x:v>0.6715277777777777</x:v>
      </x:c>
      <x:c r="E138" s="85" t="n">
        <x:v>0.7138888888888889</x:v>
      </x:c>
      <x:c r="F138" s="85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  <x:c r="S138" t="n">
        <x:v>0</x:v>
      </x:c>
      <x:c r="T138" t="str">
        <x:f>TEXT(INT(S138/60),"00")&amp;":"&amp;TEXT(MOD(S138,60),"00")</x:f>
        <x:v>00:00</x:v>
      </x:c>
      <x:c r="W138" t="n">
        <x:f>IF(S138&gt;0,1,0)</x:f>
        <x:v>0</x:v>
      </x:c>
    </x:row>
    <x:row r="139" ht="21" customHeight="1">
      <x:c r="A139" s="83" t="n">
        <x:v>45875</x:v>
      </x:c>
      <x:c r="B139" t="str">
        <x:v>quarta-feira</x:v>
      </x:c>
      <x:c r="C139" s="85" t="n">
        <x:v>0.5472222222222223</x:v>
      </x:c>
      <x:c r="D139" s="85" t="n">
        <x:v>0.6722222222222223</x:v>
      </x:c>
      <x:c r="E139" s="85" t="n">
        <x:v>0.7118055555555556</x:v>
      </x:c>
      <x:c r="F139" s="85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  <x:c r="S139" t="n">
        <x:v>0</x:v>
      </x:c>
      <x:c r="T139" t="str">
        <x:f>TEXT(INT(S139/60),"00")&amp;":"&amp;TEXT(MOD(S139,60),"00")</x:f>
        <x:v>00:00</x:v>
      </x:c>
      <x:c r="W139" t="n">
        <x:f>IF(S139&gt;0,1,0)</x:f>
        <x:v>0</x:v>
      </x:c>
    </x:row>
    <x:row r="140" ht="21" customHeight="1">
      <x:c r="A140" s="83" t="n">
        <x:v>45876</x:v>
      </x:c>
      <x:c r="B140" t="str">
        <x:v>quinta-feira</x:v>
      </x:c>
      <x:c r="C140" s="85" t="n">
        <x:v>0.5423611111111111</x:v>
      </x:c>
      <x:c r="D140" s="85" t="n">
        <x:v>0.6673611111111111</x:v>
      </x:c>
      <x:c r="E140" s="85" t="n">
        <x:v>0.7083333333333334</x:v>
      </x:c>
      <x:c r="F140" s="85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  <x:c r="S140" t="n">
        <x:v>0</x:v>
      </x:c>
      <x:c r="T140" t="str">
        <x:f>TEXT(INT(S140/60),"00")&amp;":"&amp;TEXT(MOD(S140,60),"00")</x:f>
        <x:v>00:00</x:v>
      </x:c>
      <x:c r="W140" t="n">
        <x:f>IF(S140&gt;0,1,0)</x:f>
        <x:v>0</x:v>
      </x:c>
    </x:row>
    <x:row r="141" ht="21" customHeight="1">
      <x:c r="A141" s="83" t="n">
        <x:v>45877</x:v>
      </x:c>
      <x:c r="B141" t="str">
        <x:v>sexta-feira</x:v>
      </x:c>
      <x:c r="C141" s="85" t="n">
        <x:v>0.5423611111111111</x:v>
      </x:c>
      <x:c r="D141" s="85" t="n">
        <x:v>0.6680555555555555</x:v>
      </x:c>
      <x:c r="E141" s="85" t="n">
        <x:v>0.7090277777777778</x:v>
      </x:c>
      <x:c r="F141" s="85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  <x:c r="S141" t="n">
        <x:v>0</x:v>
      </x:c>
      <x:c r="T141" t="str">
        <x:f>TEXT(INT(S141/60),"00")&amp;":"&amp;TEXT(MOD(S141,60),"00")</x:f>
        <x:v>00:00</x:v>
      </x:c>
      <x:c r="W141" t="n">
        <x:f>IF(S141&gt;0,1,0)</x:f>
        <x:v>0</x:v>
      </x:c>
    </x:row>
    <x:row r="142" ht="21" customHeight="1">
      <x:c r="A142" s="83" t="n">
        <x:v>45878</x:v>
      </x:c>
      <x:c r="B142" t="str">
        <x:v>sábado</x:v>
      </x:c>
      <x:c r="C142" s="85" t="n">
        <x:v>0.54375</x:v>
      </x:c>
      <x:c r="D142" s="85"/>
      <x:c r="E142" s="85"/>
      <x:c r="F142" s="85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  <x:c r="S142" t="n">
        <x:v>0</x:v>
      </x:c>
      <x:c r="T142" t="str">
        <x:f>TEXT(INT(S142/60),"00")&amp;":"&amp;TEXT(MOD(S142,60),"00")</x:f>
        <x:v>00:00</x:v>
      </x:c>
      <x:c r="W142" t="n">
        <x:f>IF(S142&gt;0,1,0)</x:f>
        <x:v>0</x:v>
      </x:c>
    </x:row>
    <x:row r="143" ht="21" customHeight="1">
      <x:c r="A143" s="83" t="n">
        <x:v>45880</x:v>
      </x:c>
      <x:c r="B143" t="str">
        <x:v>segunda-feira</x:v>
      </x:c>
      <x:c r="C143" s="85" t="n">
        <x:v>0.5423611111111111</x:v>
      </x:c>
      <x:c r="D143" s="85" t="n">
        <x:v>0.6694444444444444</x:v>
      </x:c>
      <x:c r="E143" s="85" t="n">
        <x:v>0.7138888888888889</x:v>
      </x:c>
      <x:c r="F143" s="85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  <x:c r="S143" t="n">
        <x:v>0</x:v>
      </x:c>
      <x:c r="T143" t="str">
        <x:f>TEXT(INT(S143/60),"00")&amp;":"&amp;TEXT(MOD(S143,60),"00")</x:f>
        <x:v>00:00</x:v>
      </x:c>
      <x:c r="W143" t="n">
        <x:f>IF(S143&gt;0,1,0)</x:f>
        <x:v>0</x:v>
      </x:c>
    </x:row>
    <x:row r="144" ht="21" customHeight="1">
      <x:c r="A144" s="83" t="n">
        <x:v>45881</x:v>
      </x:c>
      <x:c r="B144" t="str">
        <x:v>terça-feira</x:v>
      </x:c>
      <x:c r="C144" s="85" t="n">
        <x:v>0.5402777777777777</x:v>
      </x:c>
      <x:c r="D144" s="85" t="n">
        <x:v>0.6673611111111111</x:v>
      </x:c>
      <x:c r="E144" s="85" t="n">
        <x:v>0.7118055555555556</x:v>
      </x:c>
      <x:c r="F144" s="85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  <x:c r="S144" t="n">
        <x:v>0</x:v>
      </x:c>
      <x:c r="T144" t="str">
        <x:f>TEXT(INT(S144/60),"00")&amp;":"&amp;TEXT(MOD(S144,60),"00")</x:f>
        <x:v>00:00</x:v>
      </x:c>
      <x:c r="W144" t="n">
        <x:f>IF(S144&gt;0,1,0)</x:f>
        <x:v>0</x:v>
      </x:c>
    </x:row>
    <x:row r="145" ht="21" customHeight="1">
      <x:c r="A145" s="83" t="n">
        <x:v>45882</x:v>
      </x:c>
      <x:c r="B145" t="str">
        <x:v>quarta-feira</x:v>
      </x:c>
      <x:c r="C145" s="85" t="n">
        <x:v>0.5430555555555555</x:v>
      </x:c>
      <x:c r="D145" s="85" t="n">
        <x:v>0.6763888888888889</x:v>
      </x:c>
      <x:c r="E145" s="85" t="n">
        <x:v>0.7173611111111111</x:v>
      </x:c>
      <x:c r="F145" s="85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  <x:c r="S145" t="n">
        <x:v>0</x:v>
      </x:c>
      <x:c r="T145" t="str">
        <x:f>TEXT(INT(S145/60),"00")&amp;":"&amp;TEXT(MOD(S145,60),"00")</x:f>
        <x:v>00:00</x:v>
      </x:c>
      <x:c r="W145" t="n">
        <x:f>IF(S145&gt;0,1,0)</x:f>
        <x:v>0</x:v>
      </x:c>
    </x:row>
    <x:row r="146" ht="21" customHeight="1">
      <x:c r="A146" s="83" t="n">
        <x:v>45883</x:v>
      </x:c>
      <x:c r="B146" t="str">
        <x:v>quinta-feira</x:v>
      </x:c>
      <x:c r="C146" s="85" t="n">
        <x:v>0.5402777777777777</x:v>
      </x:c>
      <x:c r="D146" s="85" t="n">
        <x:v>0.6673611111111111</x:v>
      </x:c>
      <x:c r="E146" s="85" t="n">
        <x:v>0.7083333333333334</x:v>
      </x:c>
      <x:c r="F146" s="85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  <x:c r="S146" t="n">
        <x:v>0</x:v>
      </x:c>
      <x:c r="T146" t="str">
        <x:f>TEXT(INT(S146/60),"00")&amp;":"&amp;TEXT(MOD(S146,60),"00")</x:f>
        <x:v>00:00</x:v>
      </x:c>
      <x:c r="W146" t="n">
        <x:f>IF(S146&gt;0,1,0)</x:f>
        <x:v>0</x:v>
      </x:c>
    </x:row>
    <x:row r="147" ht="21" customHeight="1">
      <x:c r="A147" s="83" t="n">
        <x:v>45884</x:v>
      </x:c>
      <x:c r="B147" t="str">
        <x:v>sexta-feira</x:v>
      </x:c>
      <x:c r="C147" s="85" t="n">
        <x:v>0.5451388888888888</x:v>
      </x:c>
      <x:c r="D147" s="85" t="n">
        <x:v>0.66875</x:v>
      </x:c>
      <x:c r="E147" s="85" t="n">
        <x:v>0.7083333333333334</x:v>
      </x:c>
      <x:c r="F147" s="85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  <x:c r="S147" t="n">
        <x:v>0</x:v>
      </x:c>
      <x:c r="T147" t="str">
        <x:f>TEXT(INT(S147/60),"00")&amp;":"&amp;TEXT(MOD(S147,60),"00")</x:f>
        <x:v>00:00</x:v>
      </x:c>
      <x:c r="W147" t="n">
        <x:f>IF(S147&gt;0,1,0)</x:f>
        <x:v>0</x:v>
      </x:c>
    </x:row>
    <x:row r="148" ht="21" customHeight="1">
      <x:c r="A148" s="83" t="n">
        <x:v>45885</x:v>
      </x:c>
      <x:c r="B148" t="str">
        <x:v>sábado</x:v>
      </x:c>
      <x:c r="C148" s="85" t="n">
        <x:v>0.5416666666666666</x:v>
      </x:c>
      <x:c r="D148" s="85"/>
      <x:c r="E148" s="85"/>
      <x:c r="F148" s="85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  <x:c r="S148" t="n">
        <x:v>0</x:v>
      </x:c>
      <x:c r="T148" t="str">
        <x:f>TEXT(INT(S148/60),"00")&amp;":"&amp;TEXT(MOD(S148,60),"00")</x:f>
        <x:v>00:00</x:v>
      </x:c>
      <x:c r="W148" t="n">
        <x:f>IF(S148&gt;0,1,0)</x:f>
        <x:v>0</x:v>
      </x:c>
    </x:row>
    <x:row r="149" ht="21" customHeight="1">
      <x:c r="A149" s="83" t="n">
        <x:v>45887</x:v>
      </x:c>
      <x:c r="B149" t="str">
        <x:v>segunda-feira</x:v>
      </x:c>
      <x:c r="C149" s="85" t="n">
        <x:v>0.5430555555555555</x:v>
      </x:c>
      <x:c r="D149" s="85" t="n">
        <x:v>0.6708333333333333</x:v>
      </x:c>
      <x:c r="E149" s="85" t="n">
        <x:v>0.7104166666666667</x:v>
      </x:c>
      <x:c r="F149" s="85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  <x:c r="S149" t="n">
        <x:v>0</x:v>
      </x:c>
      <x:c r="T149" t="str">
        <x:f>TEXT(INT(S149/60),"00")&amp;":"&amp;TEXT(MOD(S149,60),"00")</x:f>
        <x:v>00:00</x:v>
      </x:c>
      <x:c r="W149" t="n">
        <x:f>IF(S149&gt;0,1,0)</x:f>
        <x:v>0</x:v>
      </x:c>
    </x:row>
    <x:row r="150" ht="21" customHeight="1">
      <x:c r="A150" s="83" t="n">
        <x:v>45888</x:v>
      </x:c>
      <x:c r="B150" t="str">
        <x:v>terça-feira</x:v>
      </x:c>
      <x:c r="C150" s="85" t="n">
        <x:v>0.5430555555555555</x:v>
      </x:c>
      <x:c r="D150" s="85" t="n">
        <x:v>0.6659722222222222</x:v>
      </x:c>
      <x:c r="E150" s="85" t="n">
        <x:v>0.70625</x:v>
      </x:c>
      <x:c r="F150" s="85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  <x:c r="S150" t="n">
        <x:v>0</x:v>
      </x:c>
      <x:c r="T150" t="str">
        <x:f>TEXT(INT(S150/60),"00")&amp;":"&amp;TEXT(MOD(S150,60),"00")</x:f>
        <x:v>00:00</x:v>
      </x:c>
      <x:c r="W150" t="n">
        <x:f>IF(S150&gt;0,1,0)</x:f>
        <x:v>0</x:v>
      </x:c>
    </x:row>
    <x:row r="151" ht="21" customHeight="1">
      <x:c r="A151" s="83" t="n">
        <x:v>45889</x:v>
      </x:c>
      <x:c r="B151" t="str">
        <x:v>quarta-feira</x:v>
      </x:c>
      <x:c r="C151" s="85" t="n">
        <x:v>0.5375</x:v>
      </x:c>
      <x:c r="D151" s="85" t="n">
        <x:v>0.66875</x:v>
      </x:c>
      <x:c r="E151" s="85" t="n">
        <x:v>0.7118055555555556</x:v>
      </x:c>
      <x:c r="F151" s="85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  <x:c r="S151" t="n">
        <x:v>0</x:v>
      </x:c>
      <x:c r="T151" t="str">
        <x:f>TEXT(INT(S151/60),"00")&amp;":"&amp;TEXT(MOD(S151,60),"00")</x:f>
        <x:v>00:00</x:v>
      </x:c>
      <x:c r="W151" t="n">
        <x:f>IF(S151&gt;0,1,0)</x:f>
        <x:v>0</x:v>
      </x:c>
    </x:row>
    <x:row r="152" ht="21" customHeight="1">
      <x:c r="A152" s="83" t="n">
        <x:v>45890</x:v>
      </x:c>
      <x:c r="B152" t="str">
        <x:v>quinta-feira</x:v>
      </x:c>
      <x:c r="C152" s="85" t="n">
        <x:v>0.5375</x:v>
      </x:c>
      <x:c r="D152" s="85" t="n">
        <x:v>0.6666666666666666</x:v>
      </x:c>
      <x:c r="E152" s="85" t="n">
        <x:v>0.7069444444444445</x:v>
      </x:c>
      <x:c r="F152" s="85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  <x:c r="S152" t="n">
        <x:v>0</x:v>
      </x:c>
      <x:c r="T152" t="str">
        <x:f>TEXT(INT(S152/60),"00")&amp;":"&amp;TEXT(MOD(S152,60),"00")</x:f>
        <x:v>00:00</x:v>
      </x:c>
      <x:c r="W152" t="n">
        <x:f>IF(S152&gt;0,1,0)</x:f>
        <x:v>0</x:v>
      </x:c>
    </x:row>
    <x:row r="153" ht="21" customHeight="1">
      <x:c r="A153" s="83" t="n">
        <x:v>45891</x:v>
      </x:c>
      <x:c r="B153" t="str">
        <x:v>sexta-feira</x:v>
      </x:c>
      <x:c r="C153" s="85" t="n">
        <x:v>0.5375</x:v>
      </x:c>
      <x:c r="D153" s="85" t="n">
        <x:v>0.6694444444444444</x:v>
      </x:c>
      <x:c r="E153" s="85" t="n">
        <x:v>0.7111111111111111</x:v>
      </x:c>
      <x:c r="F153" s="85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  <x:c r="S153" t="n">
        <x:v>0</x:v>
      </x:c>
      <x:c r="T153" t="str">
        <x:f>TEXT(INT(S153/60),"00")&amp;":"&amp;TEXT(MOD(S153,60),"00")</x:f>
        <x:v>00:00</x:v>
      </x:c>
      <x:c r="W153" t="n">
        <x:f>IF(S153&gt;0,1,0)</x:f>
        <x:v>0</x:v>
      </x:c>
    </x:row>
    <x:row r="154" ht="21" customHeight="1">
      <x:c r="A154" s="83" t="n">
        <x:v>45892</x:v>
      </x:c>
      <x:c r="B154" t="str">
        <x:v>sábado</x:v>
      </x:c>
      <x:c r="C154" s="85" t="n">
        <x:v>0.5388888888888889</x:v>
      </x:c>
      <x:c r="D154" s="85"/>
      <x:c r="E154" s="85"/>
      <x:c r="F154" s="85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  <x:c r="S154" t="n">
        <x:v>0</x:v>
      </x:c>
      <x:c r="T154" t="str">
        <x:f>TEXT(INT(S154/60),"00")&amp;":"&amp;TEXT(MOD(S154,60),"00")</x:f>
        <x:v>00:00</x:v>
      </x:c>
      <x:c r="W154" t="n">
        <x:f>IF(S154&gt;0,1,0)</x:f>
        <x:v>0</x:v>
      </x:c>
    </x:row>
    <x:row r="155" ht="21" customHeight="1">
      <x:c r="A155" s="83" t="n">
        <x:v>45894</x:v>
      </x:c>
      <x:c r="B155" t="str">
        <x:v>segunda-feira</x:v>
      </x:c>
      <x:c r="C155" s="85" t="n">
        <x:v>0.5375</x:v>
      </x:c>
      <x:c r="D155" s="85" t="n">
        <x:v>0.6708333333333333</x:v>
      </x:c>
      <x:c r="E155" s="85" t="n">
        <x:v>0.7118055555555556</x:v>
      </x:c>
      <x:c r="F155" s="85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  <x:c r="S155" t="n">
        <x:v>0</x:v>
      </x:c>
      <x:c r="T155" t="str">
        <x:f>TEXT(INT(S155/60),"00")&amp;":"&amp;TEXT(MOD(S155,60),"00")</x:f>
        <x:v>00:00</x:v>
      </x:c>
      <x:c r="W155" t="n">
        <x:f>IF(S155&gt;0,1,0)</x:f>
        <x:v>0</x:v>
      </x:c>
    </x:row>
    <x:row r="156" ht="21" customHeight="1">
      <x:c r="A156" s="83" t="n">
        <x:v>45895</x:v>
      </x:c>
      <x:c r="B156" t="str">
        <x:v>terça-feira</x:v>
      </x:c>
      <x:c r="C156" s="85" t="n">
        <x:v>0.5430555555555555</x:v>
      </x:c>
      <x:c r="D156" s="85" t="n">
        <x:v>0.6666666666666666</x:v>
      </x:c>
      <x:c r="E156" s="85" t="n">
        <x:v>0.7090277777777778</x:v>
      </x:c>
      <x:c r="F156" s="85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  <x:c r="S156" t="n">
        <x:v>0</x:v>
      </x:c>
      <x:c r="T156" t="str">
        <x:f>TEXT(INT(S156/60),"00")&amp;":"&amp;TEXT(MOD(S156,60),"00")</x:f>
        <x:v>00:00</x:v>
      </x:c>
      <x:c r="W156" t="n">
        <x:f>IF(S156&gt;0,1,0)</x:f>
        <x:v>0</x:v>
      </x:c>
    </x:row>
    <x:row r="157" ht="21" customHeight="1">
      <x:c r="A157" s="83" t="n">
        <x:v>45896</x:v>
      </x:c>
      <x:c r="B157" t="str">
        <x:v>quarta-feira</x:v>
      </x:c>
      <x:c r="C157" s="85" t="n">
        <x:v>0.5402777777777777</x:v>
      </x:c>
      <x:c r="D157" s="85" t="n">
        <x:v>0.6770833333333334</x:v>
      </x:c>
      <x:c r="E157" s="85" t="n">
        <x:v>0.7180555555555556</x:v>
      </x:c>
      <x:c r="F157" s="85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  <x:c r="S157" t="n">
        <x:v>0</x:v>
      </x:c>
      <x:c r="T157" t="str">
        <x:f>TEXT(INT(S157/60),"00")&amp;":"&amp;TEXT(MOD(S157,60),"00")</x:f>
        <x:v>00:00</x:v>
      </x:c>
      <x:c r="W157" t="n">
        <x:f>IF(S157&gt;0,1,0)</x:f>
        <x:v>0</x:v>
      </x:c>
    </x:row>
    <x:row r="158" ht="21" customHeight="1">
      <x:c r="A158" s="83" t="n">
        <x:v>45897</x:v>
      </x:c>
      <x:c r="B158" t="str">
        <x:v>quinta-feira</x:v>
      </x:c>
      <x:c r="C158" s="85" t="n">
        <x:v>0.5381944444444444</x:v>
      </x:c>
      <x:c r="D158" s="85" t="n">
        <x:v>0.6715277777777777</x:v>
      </x:c>
      <x:c r="E158" s="85" t="n">
        <x:v>0.7104166666666667</x:v>
      </x:c>
      <x:c r="F158" s="85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  <x:c r="S158" t="n">
        <x:v>0</x:v>
      </x:c>
      <x:c r="T158" t="str">
        <x:f>TEXT(INT(S158/60),"00")&amp;":"&amp;TEXT(MOD(S158,60),"00")</x:f>
        <x:v>00:00</x:v>
      </x:c>
      <x:c r="W158" t="n">
        <x:f>IF(S158&gt;0,1,0)</x:f>
        <x:v>0</x:v>
      </x:c>
    </x:row>
    <x:row r="159" ht="21" customHeight="1">
      <x:c r="A159" s="83" t="n">
        <x:v>45898</x:v>
      </x:c>
      <x:c r="B159" t="str">
        <x:v>sexta-feira</x:v>
      </x:c>
      <x:c r="C159" s="85" t="n">
        <x:v>0.5472222222222223</x:v>
      </x:c>
      <x:c r="D159" s="85" t="n">
        <x:v>0.6777777777777778</x:v>
      </x:c>
      <x:c r="E159" s="85" t="n">
        <x:v>0.7215277777777778</x:v>
      </x:c>
      <x:c r="F159" s="85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  <x:c r="S159" t="n">
        <x:v>0</x:v>
      </x:c>
      <x:c r="T159" t="str">
        <x:f>TEXT(INT(S159/60),"00")&amp;":"&amp;TEXT(MOD(S159,60),"00")</x:f>
        <x:v>00:00</x:v>
      </x:c>
      <x:c r="W159" t="n">
        <x:f>IF(S159&gt;0,1,0)</x:f>
        <x:v>0</x:v>
      </x:c>
    </x:row>
    <x:row r="160" ht="21" customHeight="1">
      <x:c r="A160" s="83" t="n">
        <x:v>45899</x:v>
      </x:c>
      <x:c r="B160" t="str">
        <x:v>sábado</x:v>
      </x:c>
      <x:c r="C160" s="85" t="n">
        <x:v>0.5472222222222223</x:v>
      </x:c>
      <x:c r="D160" s="85"/>
      <x:c r="E160" s="85"/>
      <x:c r="F160" s="85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  <x:c r="S160" t="n">
        <x:v>0</x:v>
      </x:c>
      <x:c r="T160" t="str">
        <x:f>TEXT(INT(S160/60),"00")&amp;":"&amp;TEXT(MOD(S160,60),"00")</x:f>
        <x:v>00:00</x:v>
      </x:c>
      <x:c r="W160" t="n">
        <x:f>IF(S160&gt;0,1,0)</x:f>
        <x:v>0</x:v>
      </x:c>
    </x:row>
    <x:row r="161" ht="21" customHeight="1">
      <x:c r="A161" s="83" t="n">
        <x:v>45901</x:v>
      </x:c>
      <x:c r="B161" t="str">
        <x:v>segunda-feira</x:v>
      </x:c>
      <x:c r="C161" s="85" t="n">
        <x:v>0.5458333333333333</x:v>
      </x:c>
      <x:c r="D161" s="85" t="n">
        <x:v>0.6743055555555556</x:v>
      </x:c>
      <x:c r="E161" s="85" t="n">
        <x:v>0.7180555555555556</x:v>
      </x:c>
      <x:c r="F161" s="85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  <x:c r="S161" t="n">
        <x:v>0</x:v>
      </x:c>
      <x:c r="T161" t="str">
        <x:f>TEXT(INT(S161/60),"00")&amp;":"&amp;TEXT(MOD(S161,60),"00")</x:f>
        <x:v>00:00</x:v>
      </x:c>
      <x:c r="W161" t="n">
        <x:f>IF(S161&gt;0,1,0)</x:f>
        <x:v>0</x:v>
      </x:c>
    </x:row>
    <x:row r="162" ht="21" customHeight="1">
      <x:c r="A162" s="83" t="n">
        <x:v>45902</x:v>
      </x:c>
      <x:c r="B162" t="str">
        <x:v>terça-feira</x:v>
      </x:c>
      <x:c r="C162" s="85" t="n">
        <x:v>0.5423611111111111</x:v>
      </x:c>
      <x:c r="D162" s="85" t="n">
        <x:v>0.6798611111111111</x:v>
      </x:c>
      <x:c r="E162" s="85" t="n">
        <x:v>0.7201388888888889</x:v>
      </x:c>
      <x:c r="F162" s="85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  <x:c r="S162" t="n">
        <x:v>0</x:v>
      </x:c>
      <x:c r="T162" t="str">
        <x:f>TEXT(INT(S162/60),"00")&amp;":"&amp;TEXT(MOD(S162,60),"00")</x:f>
        <x:v>00:00</x:v>
      </x:c>
      <x:c r="W162" t="n">
        <x:f>IF(S162&gt;0,1,0)</x:f>
        <x:v>0</x:v>
      </x:c>
    </x:row>
    <x:row r="163" ht="21" customHeight="1">
      <x:c r="A163" s="83" t="n">
        <x:v>45903</x:v>
      </x:c>
      <x:c r="B163" t="str">
        <x:v>quarta-feira</x:v>
      </x:c>
      <x:c r="C163" s="85" t="n">
        <x:v>0.5402777777777777</x:v>
      </x:c>
      <x:c r="D163" s="85" t="n">
        <x:v>0.6777777777777778</x:v>
      </x:c>
      <x:c r="E163" s="85" t="n">
        <x:v>0.7180555555555556</x:v>
      </x:c>
      <x:c r="F163" s="85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  <x:c r="S163" t="n">
        <x:v>0</x:v>
      </x:c>
      <x:c r="T163" t="str">
        <x:f>TEXT(INT(S163/60),"00")&amp;":"&amp;TEXT(MOD(S163,60),"00")</x:f>
        <x:v>00:00</x:v>
      </x:c>
      <x:c r="W163" t="n">
        <x:f>IF(S163&gt;0,1,0)</x:f>
        <x:v>0</x:v>
      </x:c>
    </x:row>
    <x:row r="164" ht="21" customHeight="1">
      <x:c r="A164" s="83" t="n">
        <x:v>45904</x:v>
      </x:c>
      <x:c r="B164" t="str">
        <x:v>quinta-feira</x:v>
      </x:c>
      <x:c r="C164" s="85" t="n">
        <x:v>0.5472222222222223</x:v>
      </x:c>
      <x:c r="D164" s="85" t="n">
        <x:v>0.6694444444444444</x:v>
      </x:c>
      <x:c r="E164" s="85" t="n">
        <x:v>0.7138888888888889</x:v>
      </x:c>
      <x:c r="F164" s="85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  <x:c r="S164" t="n">
        <x:v>0</x:v>
      </x:c>
      <x:c r="T164" t="str">
        <x:f>TEXT(INT(S164/60),"00")&amp;":"&amp;TEXT(MOD(S164,60),"00")</x:f>
        <x:v>00:00</x:v>
      </x:c>
      <x:c r="W164" t="n">
        <x:f>IF(S164&gt;0,1,0)</x:f>
        <x:v>0</x:v>
      </x:c>
    </x:row>
    <x:row r="165" ht="21" customHeight="1">
      <x:c r="A165" s="83" t="n">
        <x:v>45905</x:v>
      </x:c>
      <x:c r="B165" t="str">
        <x:v>sexta-feira</x:v>
      </x:c>
      <x:c r="C165" s="85" t="n">
        <x:v>0.5395833333333333</x:v>
      </x:c>
      <x:c r="D165" s="85" t="n">
        <x:v>0.6715277777777777</x:v>
      </x:c>
      <x:c r="E165" s="85" t="n">
        <x:v>0.7131944444444445</x:v>
      </x:c>
      <x:c r="F165" s="85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  <x:c r="S165" t="n">
        <x:v>0</x:v>
      </x:c>
      <x:c r="T165" t="str">
        <x:f>TEXT(INT(S165/60),"00")&amp;":"&amp;TEXT(MOD(S165,60),"00")</x:f>
        <x:v>00:00</x:v>
      </x:c>
      <x:c r="W165" t="n">
        <x:f>IF(S165&gt;0,1,0)</x:f>
        <x:v>0</x:v>
      </x:c>
    </x:row>
    <x:row r="166" ht="21" customHeight="1">
      <x:c r="A166" s="83" t="n">
        <x:v>45906</x:v>
      </x:c>
      <x:c r="B166" t="str">
        <x:v>sábado</x:v>
      </x:c>
      <x:c r="C166" s="85" t="n">
        <x:v>0.5416666666666666</x:v>
      </x:c>
      <x:c r="D166" s="85" t="n">
        <x:v>0.65625</x:v>
      </x:c>
      <x:c r="E166" s="85" t="n">
        <x:v>0.6979166666666666</x:v>
      </x:c>
      <x:c r="F166" s="85" t="n">
        <x:v>0.9131944444444444</x:v>
      </x:c>
      <x:c r="G166" t="str">
        <x:f>TEXT(INT(K166/60),"00")&amp;":"&amp;TEXT(MOD(K166,60),"00")</x:f>
        <x:v>07:55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+03:55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475</x:v>
      </x:c>
      <x:c r="L166" t="n">
        <x:v>240</x:v>
      </x:c>
      <x:c r="M166" t="n">
        <x:f>K166-L166</x:f>
        <x:v>235</x:v>
      </x:c>
      <x:c r="N166" t="n">
        <x:f>MAX(0,M166)</x:f>
        <x:v>235</x:v>
      </x:c>
      <x:c r="O166" t="n">
        <x:f>MAX(0,-M166)</x:f>
        <x:v>0</x:v>
      </x:c>
      <x:c r="P166" t="str">
        <x:v>Ponto registrado — jornada revisada</x:v>
      </x:c>
      <x:c r="Q166" t="str">
        <x:v>Horários da planilha de jornadas revisada</x:v>
      </x:c>
      <x:c r="R166" t="str">
        <x:v>2025-09</x:v>
      </x:c>
      <x:c r="S166" t="n">
        <x:v>0</x:v>
      </x:c>
      <x:c r="T166" t="str">
        <x:f>TEXT(INT(S166/60),"00")&amp;":"&amp;TEXT(MOD(S166,60),"00")</x:f>
        <x:v>00:00</x:v>
      </x:c>
      <x:c r="W166" t="n">
        <x:f>IF(S166&gt;0,1,0)</x:f>
        <x:v>0</x:v>
      </x:c>
    </x:row>
    <x:row r="167" ht="21" customHeight="1">
      <x:c r="A167" s="83" t="n">
        <x:v>45908</x:v>
      </x:c>
      <x:c r="B167" t="str">
        <x:v>segunda-feira</x:v>
      </x:c>
      <x:c r="C167" s="85" t="n">
        <x:v>0.5375</x:v>
      </x:c>
      <x:c r="D167" s="85" t="n">
        <x:v>0.6763888888888889</x:v>
      </x:c>
      <x:c r="E167" s="85" t="n">
        <x:v>0.7173611111111111</x:v>
      </x:c>
      <x:c r="F167" s="85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  <x:c r="S167" t="n">
        <x:v>0</x:v>
      </x:c>
      <x:c r="T167" t="str">
        <x:f>TEXT(INT(S167/60),"00")&amp;":"&amp;TEXT(MOD(S167,60),"00")</x:f>
        <x:v>00:00</x:v>
      </x:c>
      <x:c r="W167" t="n">
        <x:f>IF(S167&gt;0,1,0)</x:f>
        <x:v>0</x:v>
      </x:c>
    </x:row>
    <x:row r="168" ht="21" customHeight="1">
      <x:c r="A168" s="83" t="n">
        <x:v>45909</x:v>
      </x:c>
      <x:c r="B168" t="str">
        <x:v>terça-feira</x:v>
      </x:c>
      <x:c r="C168" s="85" t="n">
        <x:v>0.5402777777777777</x:v>
      </x:c>
      <x:c r="D168" s="85" t="n">
        <x:v>0.6777777777777778</x:v>
      </x:c>
      <x:c r="E168" s="85" t="n">
        <x:v>0.7166666666666667</x:v>
      </x:c>
      <x:c r="F168" s="85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  <x:c r="S168" t="n">
        <x:v>0</x:v>
      </x:c>
      <x:c r="T168" t="str">
        <x:f>TEXT(INT(S168/60),"00")&amp;":"&amp;TEXT(MOD(S168,60),"00")</x:f>
        <x:v>00:00</x:v>
      </x:c>
      <x:c r="W168" t="n">
        <x:f>IF(S168&gt;0,1,0)</x:f>
        <x:v>0</x:v>
      </x:c>
    </x:row>
    <x:row r="169" ht="21" customHeight="1">
      <x:c r="A169" s="83" t="n">
        <x:v>45910</x:v>
      </x:c>
      <x:c r="B169" t="str">
        <x:v>quarta-feira</x:v>
      </x:c>
      <x:c r="C169" s="85" t="n">
        <x:v>0.5458333333333333</x:v>
      </x:c>
      <x:c r="D169" s="85" t="n">
        <x:v>0.6715277777777777</x:v>
      </x:c>
      <x:c r="E169" s="85" t="n">
        <x:v>0.7145833333333333</x:v>
      </x:c>
      <x:c r="F169" s="85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  <x:c r="S169" t="n">
        <x:v>0</x:v>
      </x:c>
      <x:c r="T169" t="str">
        <x:f>TEXT(INT(S169/60),"00")&amp;":"&amp;TEXT(MOD(S169,60),"00")</x:f>
        <x:v>00:00</x:v>
      </x:c>
      <x:c r="W169" t="n">
        <x:f>IF(S169&gt;0,1,0)</x:f>
        <x:v>0</x:v>
      </x:c>
    </x:row>
    <x:row r="170" ht="21" customHeight="1">
      <x:c r="A170" s="83" t="n">
        <x:v>45911</x:v>
      </x:c>
      <x:c r="B170" t="str">
        <x:v>quinta-feira</x:v>
      </x:c>
      <x:c r="C170" s="85" t="n">
        <x:v>0.5430555555555555</x:v>
      </x:c>
      <x:c r="D170" s="85" t="n">
        <x:v>0.6770833333333334</x:v>
      </x:c>
      <x:c r="E170" s="85" t="n">
        <x:v>0.7180555555555556</x:v>
      </x:c>
      <x:c r="F170" s="85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  <x:c r="S170" t="n">
        <x:v>0</x:v>
      </x:c>
      <x:c r="T170" t="str">
        <x:f>TEXT(INT(S170/60),"00")&amp;":"&amp;TEXT(MOD(S170,60),"00")</x:f>
        <x:v>00:00</x:v>
      </x:c>
      <x:c r="W170" t="n">
        <x:f>IF(S170&gt;0,1,0)</x:f>
        <x:v>0</x:v>
      </x:c>
    </x:row>
    <x:row r="171" ht="21" customHeight="1">
      <x:c r="A171" s="83" t="n">
        <x:v>45912</x:v>
      </x:c>
      <x:c r="B171" t="str">
        <x:v>sexta-feira</x:v>
      </x:c>
      <x:c r="C171" s="85" t="n">
        <x:v>0.5375</x:v>
      </x:c>
      <x:c r="D171" s="85" t="n">
        <x:v>0.6736111111111112</x:v>
      </x:c>
      <x:c r="E171" s="85" t="n">
        <x:v>0.7180555555555556</x:v>
      </x:c>
      <x:c r="F171" s="85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  <x:c r="S171" t="n">
        <x:v>0</x:v>
      </x:c>
      <x:c r="T171" t="str">
        <x:f>TEXT(INT(S171/60),"00")&amp;":"&amp;TEXT(MOD(S171,60),"00")</x:f>
        <x:v>00:00</x:v>
      </x:c>
      <x:c r="W171" t="n">
        <x:f>IF(S171&gt;0,1,0)</x:f>
        <x:v>0</x:v>
      </x:c>
    </x:row>
    <x:row r="172" ht="21" customHeight="1">
      <x:c r="A172" s="83" t="n">
        <x:v>45913</x:v>
      </x:c>
      <x:c r="B172" t="str">
        <x:v>sábado</x:v>
      </x:c>
      <x:c r="C172" s="85" t="n">
        <x:v>0.5465277777777777</x:v>
      </x:c>
      <x:c r="D172" s="85"/>
      <x:c r="E172" s="85"/>
      <x:c r="F172" s="85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  <x:c r="S172" t="n">
        <x:v>0</x:v>
      </x:c>
      <x:c r="T172" t="str">
        <x:f>TEXT(INT(S172/60),"00")&amp;":"&amp;TEXT(MOD(S172,60),"00")</x:f>
        <x:v>00:00</x:v>
      </x:c>
      <x:c r="W172" t="n">
        <x:f>IF(S172&gt;0,1,0)</x:f>
        <x:v>0</x:v>
      </x:c>
    </x:row>
    <x:row r="173" ht="21" customHeight="1">
      <x:c r="A173" s="83" t="n">
        <x:v>45915</x:v>
      </x:c>
      <x:c r="B173" t="str">
        <x:v>segunda-feira</x:v>
      </x:c>
      <x:c r="C173" s="85" t="n">
        <x:v>0.5465277777777777</x:v>
      </x:c>
      <x:c r="D173" s="85" t="n">
        <x:v>0.6694444444444444</x:v>
      </x:c>
      <x:c r="E173" s="85" t="n">
        <x:v>0.7131944444444445</x:v>
      </x:c>
      <x:c r="F173" s="85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  <x:c r="S173" t="n">
        <x:v>0</x:v>
      </x:c>
      <x:c r="T173" t="str">
        <x:f>TEXT(INT(S173/60),"00")&amp;":"&amp;TEXT(MOD(S173,60),"00")</x:f>
        <x:v>00:00</x:v>
      </x:c>
      <x:c r="W173" t="n">
        <x:f>IF(S173&gt;0,1,0)</x:f>
        <x:v>0</x:v>
      </x:c>
    </x:row>
    <x:row r="174" ht="21" customHeight="1">
      <x:c r="A174" s="83" t="n">
        <x:v>45916</x:v>
      </x:c>
      <x:c r="B174" t="str">
        <x:v>terça-feira</x:v>
      </x:c>
      <x:c r="C174" s="85" t="n">
        <x:v>0.5423611111111111</x:v>
      </x:c>
      <x:c r="D174" s="85" t="n">
        <x:v>0.6791666666666667</x:v>
      </x:c>
      <x:c r="E174" s="85" t="n">
        <x:v>0.7236111111111111</x:v>
      </x:c>
      <x:c r="F174" s="85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  <x:c r="S174" t="n">
        <x:v>0</x:v>
      </x:c>
      <x:c r="T174" t="str">
        <x:f>TEXT(INT(S174/60),"00")&amp;":"&amp;TEXT(MOD(S174,60),"00")</x:f>
        <x:v>00:00</x:v>
      </x:c>
      <x:c r="W174" t="n">
        <x:f>IF(S174&gt;0,1,0)</x:f>
        <x:v>0</x:v>
      </x:c>
    </x:row>
    <x:row r="175" ht="21" customHeight="1">
      <x:c r="A175" s="83" t="n">
        <x:v>45917</x:v>
      </x:c>
      <x:c r="B175" t="str">
        <x:v>quarta-feira</x:v>
      </x:c>
      <x:c r="C175" s="85" t="n">
        <x:v>0.5458333333333333</x:v>
      </x:c>
      <x:c r="D175" s="85" t="n">
        <x:v>0.6736111111111112</x:v>
      </x:c>
      <x:c r="E175" s="85" t="n">
        <x:v>0.7159722222222222</x:v>
      </x:c>
      <x:c r="F175" s="85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  <x:c r="S175" t="n">
        <x:v>0</x:v>
      </x:c>
      <x:c r="T175" t="str">
        <x:f>TEXT(INT(S175/60),"00")&amp;":"&amp;TEXT(MOD(S175,60),"00")</x:f>
        <x:v>00:00</x:v>
      </x:c>
      <x:c r="W175" t="n">
        <x:f>IF(S175&gt;0,1,0)</x:f>
        <x:v>0</x:v>
      </x:c>
    </x:row>
    <x:row r="176" ht="21" customHeight="1">
      <x:c r="A176" s="83" t="n">
        <x:v>45918</x:v>
      </x:c>
      <x:c r="B176" t="str">
        <x:v>quinta-feira</x:v>
      </x:c>
      <x:c r="C176" s="85" t="n">
        <x:v>0.5451388888888888</x:v>
      </x:c>
      <x:c r="D176" s="85" t="n">
        <x:v>0.6756944444444445</x:v>
      </x:c>
      <x:c r="E176" s="85" t="n">
        <x:v>0.7145833333333333</x:v>
      </x:c>
      <x:c r="F176" s="85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  <x:c r="S176" t="n">
        <x:v>0</x:v>
      </x:c>
      <x:c r="T176" t="str">
        <x:f>TEXT(INT(S176/60),"00")&amp;":"&amp;TEXT(MOD(S176,60),"00")</x:f>
        <x:v>00:00</x:v>
      </x:c>
      <x:c r="W176" t="n">
        <x:f>IF(S176&gt;0,1,0)</x:f>
        <x:v>0</x:v>
      </x:c>
    </x:row>
    <x:row r="177" ht="21" customHeight="1">
      <x:c r="A177" s="83" t="n">
        <x:v>45919</x:v>
      </x:c>
      <x:c r="B177" t="str">
        <x:v>sexta-feira</x:v>
      </x:c>
      <x:c r="C177" s="85" t="n">
        <x:v>0.5465277777777777</x:v>
      </x:c>
      <x:c r="D177" s="85" t="n">
        <x:v>0.6791666666666667</x:v>
      </x:c>
      <x:c r="E177" s="85" t="n">
        <x:v>0.7194444444444444</x:v>
      </x:c>
      <x:c r="F177" s="85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  <x:c r="S177" t="n">
        <x:v>0</x:v>
      </x:c>
      <x:c r="T177" t="str">
        <x:f>TEXT(INT(S177/60),"00")&amp;":"&amp;TEXT(MOD(S177,60),"00")</x:f>
        <x:v>00:00</x:v>
      </x:c>
      <x:c r="W177" t="n">
        <x:f>IF(S177&gt;0,1,0)</x:f>
        <x:v>0</x:v>
      </x:c>
    </x:row>
    <x:row r="178" ht="21" customHeight="1">
      <x:c r="A178" s="83" t="n">
        <x:v>45920</x:v>
      </x:c>
      <x:c r="B178" t="str">
        <x:v>sábado</x:v>
      </x:c>
      <x:c r="C178" s="85" t="n">
        <x:v>0.5402777777777777</x:v>
      </x:c>
      <x:c r="D178" s="85" t="n">
        <x:v>0.6701388888888888</x:v>
      </x:c>
      <x:c r="E178" s="85" t="n">
        <x:v>0.6805555555555556</x:v>
      </x:c>
      <x:c r="F178" s="85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  <x:c r="S178" t="n">
        <x:v>0</x:v>
      </x:c>
      <x:c r="T178" t="str">
        <x:f>TEXT(INT(S178/60),"00")&amp;":"&amp;TEXT(MOD(S178,60),"00")</x:f>
        <x:v>00:00</x:v>
      </x:c>
      <x:c r="W178" t="n">
        <x:f>IF(S178&gt;0,1,0)</x:f>
        <x:v>0</x:v>
      </x:c>
    </x:row>
    <x:row r="179" ht="21" customHeight="1">
      <x:c r="A179" s="83" t="n">
        <x:v>45922</x:v>
      </x:c>
      <x:c r="B179" t="str">
        <x:v>segunda-feira</x:v>
      </x:c>
      <x:c r="C179" s="85" t="n">
        <x:v>0.5388888888888889</x:v>
      </x:c>
      <x:c r="D179" s="85" t="n">
        <x:v>0.68125</x:v>
      </x:c>
      <x:c r="E179" s="85" t="n">
        <x:v>0.7222222222222222</x:v>
      </x:c>
      <x:c r="F179" s="85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  <x:c r="S179" t="n">
        <x:v>0</x:v>
      </x:c>
      <x:c r="T179" t="str">
        <x:f>TEXT(INT(S179/60),"00")&amp;":"&amp;TEXT(MOD(S179,60),"00")</x:f>
        <x:v>00:00</x:v>
      </x:c>
      <x:c r="W179" t="n">
        <x:f>IF(S179&gt;0,1,0)</x:f>
        <x:v>0</x:v>
      </x:c>
    </x:row>
    <x:row r="180" ht="21" customHeight="1">
      <x:c r="A180" s="83" t="n">
        <x:v>45923</x:v>
      </x:c>
      <x:c r="B180" t="str">
        <x:v>terça-feira</x:v>
      </x:c>
      <x:c r="C180" s="85" t="n">
        <x:v>0.5402777777777777</x:v>
      </x:c>
      <x:c r="D180" s="85" t="n">
        <x:v>0.6666666666666666</x:v>
      </x:c>
      <x:c r="E180" s="85" t="n">
        <x:v>0.7111111111111111</x:v>
      </x:c>
      <x:c r="F180" s="85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  <x:c r="S180" t="n">
        <x:v>0</x:v>
      </x:c>
      <x:c r="T180" t="str">
        <x:f>TEXT(INT(S180/60),"00")&amp;":"&amp;TEXT(MOD(S180,60),"00")</x:f>
        <x:v>00:00</x:v>
      </x:c>
      <x:c r="W180" t="n">
        <x:f>IF(S180&gt;0,1,0)</x:f>
        <x:v>0</x:v>
      </x:c>
    </x:row>
    <x:row r="181" ht="21" customHeight="1">
      <x:c r="A181" s="83" t="n">
        <x:v>45924</x:v>
      </x:c>
      <x:c r="B181" t="str">
        <x:v>quarta-feira</x:v>
      </x:c>
      <x:c r="C181" s="85" t="n">
        <x:v>0.5458333333333333</x:v>
      </x:c>
      <x:c r="D181" s="85" t="n">
        <x:v>0.68125</x:v>
      </x:c>
      <x:c r="E181" s="85" t="n">
        <x:v>0.7236111111111111</x:v>
      </x:c>
      <x:c r="F181" s="85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  <x:c r="S181" t="n">
        <x:v>0</x:v>
      </x:c>
      <x:c r="T181" t="str">
        <x:f>TEXT(INT(S181/60),"00")&amp;":"&amp;TEXT(MOD(S181,60),"00")</x:f>
        <x:v>00:00</x:v>
      </x:c>
      <x:c r="W181" t="n">
        <x:f>IF(S181&gt;0,1,0)</x:f>
        <x:v>0</x:v>
      </x:c>
    </x:row>
    <x:row r="182" ht="21" customHeight="1">
      <x:c r="A182" s="83" t="n">
        <x:v>45925</x:v>
      </x:c>
      <x:c r="B182" t="str">
        <x:v>quinta-feira</x:v>
      </x:c>
      <x:c r="C182" s="85" t="n">
        <x:v>0.5430555555555555</x:v>
      </x:c>
      <x:c r="D182" s="85" t="n">
        <x:v>0.6736111111111112</x:v>
      </x:c>
      <x:c r="E182" s="85" t="n">
        <x:v>0.7125</x:v>
      </x:c>
      <x:c r="F182" s="85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  <x:c r="S182" t="n">
        <x:v>0</x:v>
      </x:c>
      <x:c r="T182" t="str">
        <x:f>TEXT(INT(S182/60),"00")&amp;":"&amp;TEXT(MOD(S182,60),"00")</x:f>
        <x:v>00:00</x:v>
      </x:c>
      <x:c r="W182" t="n">
        <x:f>IF(S182&gt;0,1,0)</x:f>
        <x:v>0</x:v>
      </x:c>
    </x:row>
    <x:row r="183" ht="21" customHeight="1">
      <x:c r="A183" s="83" t="n">
        <x:v>45926</x:v>
      </x:c>
      <x:c r="B183" t="str">
        <x:v>sexta-feira</x:v>
      </x:c>
      <x:c r="C183" s="85" t="n">
        <x:v>0.5395833333333333</x:v>
      </x:c>
      <x:c r="D183" s="85" t="n">
        <x:v>0.6791666666666667</x:v>
      </x:c>
      <x:c r="E183" s="85" t="n">
        <x:v>0.7201388888888889</x:v>
      </x:c>
      <x:c r="F183" s="85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  <x:c r="S183" t="n">
        <x:v>0</x:v>
      </x:c>
      <x:c r="T183" t="str">
        <x:f>TEXT(INT(S183/60),"00")&amp;":"&amp;TEXT(MOD(S183,60),"00")</x:f>
        <x:v>00:00</x:v>
      </x:c>
      <x:c r="W183" t="n">
        <x:f>IF(S183&gt;0,1,0)</x:f>
        <x:v>0</x:v>
      </x:c>
    </x:row>
    <x:row r="184" ht="21" customHeight="1">
      <x:c r="A184" s="83" t="n">
        <x:v>45927</x:v>
      </x:c>
      <x:c r="B184" t="str">
        <x:v>sábado</x:v>
      </x:c>
      <x:c r="C184" s="85" t="n">
        <x:v>0.54375</x:v>
      </x:c>
      <x:c r="D184" s="85" t="n">
        <x:v>0.6736111111111112</x:v>
      </x:c>
      <x:c r="E184" s="85" t="n">
        <x:v>0.6840277777777778</x:v>
      </x:c>
      <x:c r="F184" s="85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  <x:c r="S184" t="n">
        <x:v>0</x:v>
      </x:c>
      <x:c r="T184" t="str">
        <x:f>TEXT(INT(S184/60),"00")&amp;":"&amp;TEXT(MOD(S184,60),"00")</x:f>
        <x:v>00:00</x:v>
      </x:c>
      <x:c r="W184" t="n">
        <x:f>IF(S184&gt;0,1,0)</x:f>
        <x:v>0</x:v>
      </x:c>
    </x:row>
    <x:row r="185" ht="21" customHeight="1">
      <x:c r="A185" s="83" t="n">
        <x:v>45929</x:v>
      </x:c>
      <x:c r="B185" t="str">
        <x:v>segunda-feira</x:v>
      </x:c>
      <x:c r="C185" s="85" t="n">
        <x:v>0.5395833333333333</x:v>
      </x:c>
      <x:c r="D185" s="85" t="n">
        <x:v>0.6777777777777778</x:v>
      </x:c>
      <x:c r="E185" s="85" t="n">
        <x:v>0.7166666666666667</x:v>
      </x:c>
      <x:c r="F185" s="85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  <x:c r="S185" t="n">
        <x:v>0</x:v>
      </x:c>
      <x:c r="T185" t="str">
        <x:f>TEXT(INT(S185/60),"00")&amp;":"&amp;TEXT(MOD(S185,60),"00")</x:f>
        <x:v>00:00</x:v>
      </x:c>
      <x:c r="W185" t="n">
        <x:f>IF(S185&gt;0,1,0)</x:f>
        <x:v>0</x:v>
      </x:c>
    </x:row>
    <x:row r="186" ht="21" customHeight="1">
      <x:c r="A186" s="83" t="n">
        <x:v>45930</x:v>
      </x:c>
      <x:c r="B186" t="str">
        <x:v>terça-feira</x:v>
      </x:c>
      <x:c r="C186" s="85" t="n">
        <x:v>0.5472222222222223</x:v>
      </x:c>
      <x:c r="D186" s="85" t="n">
        <x:v>0.6784722222222223</x:v>
      </x:c>
      <x:c r="E186" s="85" t="n">
        <x:v>0.7222222222222222</x:v>
      </x:c>
      <x:c r="F186" s="85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  <x:c r="S186" t="n">
        <x:v>0</x:v>
      </x:c>
      <x:c r="T186" t="str">
        <x:f>TEXT(INT(S186/60),"00")&amp;":"&amp;TEXT(MOD(S186,60),"00")</x:f>
        <x:v>00:00</x:v>
      </x:c>
      <x:c r="W186" t="n">
        <x:f>IF(S186&gt;0,1,0)</x:f>
        <x:v>0</x:v>
      </x:c>
    </x:row>
    <x:row r="187" ht="21" customHeight="1">
      <x:c r="A187" s="83" t="n">
        <x:v>45931</x:v>
      </x:c>
      <x:c r="B187" t="str">
        <x:v>quarta-feira</x:v>
      </x:c>
      <x:c r="C187" s="85" t="n">
        <x:v>0.5388888888888889</x:v>
      </x:c>
      <x:c r="D187" s="85" t="n">
        <x:v>0.6715277777777777</x:v>
      </x:c>
      <x:c r="E187" s="85" t="n">
        <x:v>0.7118055555555556</x:v>
      </x:c>
      <x:c r="F187" s="85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  <x:c r="S187" t="n">
        <x:v>0</x:v>
      </x:c>
      <x:c r="T187" t="str">
        <x:f>TEXT(INT(S187/60),"00")&amp;":"&amp;TEXT(MOD(S187,60),"00")</x:f>
        <x:v>00:00</x:v>
      </x:c>
      <x:c r="W187" t="n">
        <x:f>IF(S187&gt;0,1,0)</x:f>
        <x:v>0</x:v>
      </x:c>
    </x:row>
    <x:row r="188" ht="21" customHeight="1">
      <x:c r="A188" s="83" t="n">
        <x:v>45932</x:v>
      </x:c>
      <x:c r="B188" t="str">
        <x:v>quinta-feira</x:v>
      </x:c>
      <x:c r="C188" s="85" t="n">
        <x:v>0.5458333333333333</x:v>
      </x:c>
      <x:c r="D188" s="85" t="n">
        <x:v>0.6701388888888888</x:v>
      </x:c>
      <x:c r="E188" s="85" t="n">
        <x:v>0.7145833333333333</x:v>
      </x:c>
      <x:c r="F188" s="85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  <x:c r="S188" t="n">
        <x:v>0</x:v>
      </x:c>
      <x:c r="T188" t="str">
        <x:f>TEXT(INT(S188/60),"00")&amp;":"&amp;TEXT(MOD(S188,60),"00")</x:f>
        <x:v>00:00</x:v>
      </x:c>
      <x:c r="W188" t="n">
        <x:f>IF(S188&gt;0,1,0)</x:f>
        <x:v>0</x:v>
      </x:c>
    </x:row>
    <x:row r="189" ht="21" customHeight="1">
      <x:c r="A189" s="83" t="n">
        <x:v>45933</x:v>
      </x:c>
      <x:c r="B189" t="str">
        <x:v>sexta-feira</x:v>
      </x:c>
      <x:c r="C189" s="85" t="n">
        <x:v>0.5430555555555555</x:v>
      </x:c>
      <x:c r="D189" s="85" t="n">
        <x:v>0.6729166666666667</x:v>
      </x:c>
      <x:c r="E189" s="85" t="n">
        <x:v>0.7138888888888889</x:v>
      </x:c>
      <x:c r="F189" s="85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  <x:c r="S189" t="n">
        <x:v>0</x:v>
      </x:c>
      <x:c r="T189" t="str">
        <x:f>TEXT(INT(S189/60),"00")&amp;":"&amp;TEXT(MOD(S189,60),"00")</x:f>
        <x:v>00:00</x:v>
      </x:c>
      <x:c r="W189" t="n">
        <x:f>IF(S189&gt;0,1,0)</x:f>
        <x:v>0</x:v>
      </x:c>
    </x:row>
    <x:row r="190" ht="21" customHeight="1">
      <x:c r="A190" s="83" t="n">
        <x:v>45934</x:v>
      </x:c>
      <x:c r="B190" t="str">
        <x:v>sábado</x:v>
      </x:c>
      <x:c r="C190" s="85" t="n">
        <x:v>0.5375</x:v>
      </x:c>
      <x:c r="D190" s="85"/>
      <x:c r="E190" s="85"/>
      <x:c r="F190" s="85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  <x:c r="S190" t="n">
        <x:v>0</x:v>
      </x:c>
      <x:c r="T190" t="str">
        <x:f>TEXT(INT(S190/60),"00")&amp;":"&amp;TEXT(MOD(S190,60),"00")</x:f>
        <x:v>00:00</x:v>
      </x:c>
      <x:c r="W190" t="n">
        <x:f>IF(S190&gt;0,1,0)</x:f>
        <x:v>0</x:v>
      </x:c>
    </x:row>
    <x:row r="191" ht="21" customHeight="1">
      <x:c r="A191" s="83" t="n">
        <x:v>45936</x:v>
      </x:c>
      <x:c r="B191" t="str">
        <x:v>segunda-feira</x:v>
      </x:c>
      <x:c r="C191" s="85" t="n">
        <x:v>0.5375</x:v>
      </x:c>
      <x:c r="D191" s="85" t="n">
        <x:v>0.6756944444444445</x:v>
      </x:c>
      <x:c r="E191" s="85" t="n">
        <x:v>0.71875</x:v>
      </x:c>
      <x:c r="F191" s="85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  <x:c r="S191" t="n">
        <x:v>0</x:v>
      </x:c>
      <x:c r="T191" t="str">
        <x:f>TEXT(INT(S191/60),"00")&amp;":"&amp;TEXT(MOD(S191,60),"00")</x:f>
        <x:v>00:00</x:v>
      </x:c>
      <x:c r="W191" t="n">
        <x:f>IF(S191&gt;0,1,0)</x:f>
        <x:v>0</x:v>
      </x:c>
    </x:row>
    <x:row r="192" ht="21" customHeight="1">
      <x:c r="A192" s="83" t="n">
        <x:v>45937</x:v>
      </x:c>
      <x:c r="B192" t="str">
        <x:v>terça-feira</x:v>
      </x:c>
      <x:c r="C192" s="85" t="n">
        <x:v>0.5381944444444444</x:v>
      </x:c>
      <x:c r="D192" s="85" t="n">
        <x:v>0.66875</x:v>
      </x:c>
      <x:c r="E192" s="85" t="n">
        <x:v>0.7111111111111111</x:v>
      </x:c>
      <x:c r="F192" s="85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  <x:c r="S192" t="n">
        <x:v>0</x:v>
      </x:c>
      <x:c r="T192" t="str">
        <x:f>TEXT(INT(S192/60),"00")&amp;":"&amp;TEXT(MOD(S192,60),"00")</x:f>
        <x:v>00:00</x:v>
      </x:c>
      <x:c r="W192" t="n">
        <x:f>IF(S192&gt;0,1,0)</x:f>
        <x:v>0</x:v>
      </x:c>
    </x:row>
    <x:row r="193" ht="21" customHeight="1">
      <x:c r="A193" s="83" t="n">
        <x:v>45938</x:v>
      </x:c>
      <x:c r="B193" t="str">
        <x:v>quarta-feira</x:v>
      </x:c>
      <x:c r="C193" s="85" t="n">
        <x:v>0.5409722222222222</x:v>
      </x:c>
      <x:c r="D193" s="85" t="n">
        <x:v>0.6666666666666666</x:v>
      </x:c>
      <x:c r="E193" s="85" t="n">
        <x:v>0.7076388888888889</x:v>
      </x:c>
      <x:c r="F193" s="85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  <x:c r="S193" t="n">
        <x:v>0</x:v>
      </x:c>
      <x:c r="T193" t="str">
        <x:f>TEXT(INT(S193/60),"00")&amp;":"&amp;TEXT(MOD(S193,60),"00")</x:f>
        <x:v>00:00</x:v>
      </x:c>
      <x:c r="W193" t="n">
        <x:f>IF(S193&gt;0,1,0)</x:f>
        <x:v>0</x:v>
      </x:c>
    </x:row>
    <x:row r="194" ht="21" customHeight="1">
      <x:c r="A194" s="83" t="n">
        <x:v>45939</x:v>
      </x:c>
      <x:c r="B194" t="str">
        <x:v>quinta-feira</x:v>
      </x:c>
      <x:c r="C194" s="85" t="n">
        <x:v>0.5472222222222223</x:v>
      </x:c>
      <x:c r="D194" s="85" t="n">
        <x:v>0.6659722222222222</x:v>
      </x:c>
      <x:c r="E194" s="85" t="n">
        <x:v>0.7090277777777778</x:v>
      </x:c>
      <x:c r="F194" s="85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  <x:c r="S194" t="n">
        <x:v>0</x:v>
      </x:c>
      <x:c r="T194" t="str">
        <x:f>TEXT(INT(S194/60),"00")&amp;":"&amp;TEXT(MOD(S194,60),"00")</x:f>
        <x:v>00:00</x:v>
      </x:c>
      <x:c r="W194" t="n">
        <x:f>IF(S194&gt;0,1,0)</x:f>
        <x:v>0</x:v>
      </x:c>
    </x:row>
    <x:row r="195" ht="21" customHeight="1">
      <x:c r="A195" s="83" t="n">
        <x:v>45940</x:v>
      </x:c>
      <x:c r="B195" t="str">
        <x:v>sexta-feira</x:v>
      </x:c>
      <x:c r="C195" s="85" t="n">
        <x:v>0.5409722222222222</x:v>
      </x:c>
      <x:c r="D195" s="85" t="n">
        <x:v>0.6743055555555556</x:v>
      </x:c>
      <x:c r="E195" s="85" t="n">
        <x:v>0.7159722222222222</x:v>
      </x:c>
      <x:c r="F195" s="85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  <x:c r="S195" t="n">
        <x:v>0</x:v>
      </x:c>
      <x:c r="T195" t="str">
        <x:f>TEXT(INT(S195/60),"00")&amp;":"&amp;TEXT(MOD(S195,60),"00")</x:f>
        <x:v>00:00</x:v>
      </x:c>
      <x:c r="W195" t="n">
        <x:f>IF(S195&gt;0,1,0)</x:f>
        <x:v>0</x:v>
      </x:c>
    </x:row>
    <x:row r="196" ht="21" customHeight="1">
      <x:c r="A196" s="83" t="n">
        <x:v>45941</x:v>
      </x:c>
      <x:c r="B196" t="str">
        <x:v>sábado</x:v>
      </x:c>
      <x:c r="C196" s="85" t="n">
        <x:v>0.5444444444444444</x:v>
      </x:c>
      <x:c r="D196" s="85"/>
      <x:c r="E196" s="85"/>
      <x:c r="F196" s="85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  <x:c r="S196" t="n">
        <x:v>0</x:v>
      </x:c>
      <x:c r="T196" t="str">
        <x:f>TEXT(INT(S196/60),"00")&amp;":"&amp;TEXT(MOD(S196,60),"00")</x:f>
        <x:v>00:00</x:v>
      </x:c>
      <x:c r="W196" t="n">
        <x:f>IF(S196&gt;0,1,0)</x:f>
        <x:v>0</x:v>
      </x:c>
    </x:row>
    <x:row r="197" ht="21" customHeight="1">
      <x:c r="A197" s="83" t="n">
        <x:v>45943</x:v>
      </x:c>
      <x:c r="B197" t="str">
        <x:v>segunda-feira</x:v>
      </x:c>
      <x:c r="C197" s="85" t="n">
        <x:v>0.5472222222222223</x:v>
      </x:c>
      <x:c r="D197" s="85" t="n">
        <x:v>0.6770833333333334</x:v>
      </x:c>
      <x:c r="E197" s="85" t="n">
        <x:v>0.71875</x:v>
      </x:c>
      <x:c r="F197" s="85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  <x:c r="S197" t="n">
        <x:v>0</x:v>
      </x:c>
      <x:c r="T197" t="str">
        <x:f>TEXT(INT(S197/60),"00")&amp;":"&amp;TEXT(MOD(S197,60),"00")</x:f>
        <x:v>00:00</x:v>
      </x:c>
      <x:c r="W197" t="n">
        <x:f>IF(S197&gt;0,1,0)</x:f>
        <x:v>0</x:v>
      </x:c>
    </x:row>
    <x:row r="198" ht="21" customHeight="1">
      <x:c r="A198" s="83" t="n">
        <x:v>45944</x:v>
      </x:c>
      <x:c r="B198" t="str">
        <x:v>terça-feira</x:v>
      </x:c>
      <x:c r="C198" s="85" t="n">
        <x:v>0.5381944444444444</x:v>
      </x:c>
      <x:c r="D198" s="85" t="n">
        <x:v>0.6770833333333334</x:v>
      </x:c>
      <x:c r="E198" s="85" t="n">
        <x:v>0.7201388888888889</x:v>
      </x:c>
      <x:c r="F198" s="85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  <x:c r="S198" t="n">
        <x:v>0</x:v>
      </x:c>
      <x:c r="T198" t="str">
        <x:f>TEXT(INT(S198/60),"00")&amp;":"&amp;TEXT(MOD(S198,60),"00")</x:f>
        <x:v>00:00</x:v>
      </x:c>
      <x:c r="W198" t="n">
        <x:f>IF(S198&gt;0,1,0)</x:f>
        <x:v>0</x:v>
      </x:c>
    </x:row>
    <x:row r="199" ht="21" customHeight="1">
      <x:c r="A199" s="83" t="n">
        <x:v>45945</x:v>
      </x:c>
      <x:c r="B199" t="str">
        <x:v>quarta-feira</x:v>
      </x:c>
      <x:c r="C199" s="85" t="n">
        <x:v>0.5381944444444444</x:v>
      </x:c>
      <x:c r="D199" s="85" t="n">
        <x:v>0.6708333333333333</x:v>
      </x:c>
      <x:c r="E199" s="85" t="n">
        <x:v>0.7131944444444445</x:v>
      </x:c>
      <x:c r="F199" s="85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  <x:c r="S199" t="n">
        <x:v>0</x:v>
      </x:c>
      <x:c r="T199" t="str">
        <x:f>TEXT(INT(S199/60),"00")&amp;":"&amp;TEXT(MOD(S199,60),"00")</x:f>
        <x:v>00:00</x:v>
      </x:c>
      <x:c r="W199" t="n">
        <x:f>IF(S199&gt;0,1,0)</x:f>
        <x:v>0</x:v>
      </x:c>
    </x:row>
    <x:row r="200" ht="21" customHeight="1">
      <x:c r="A200" s="83" t="n">
        <x:v>45946</x:v>
      </x:c>
      <x:c r="B200" t="str">
        <x:v>quinta-feira</x:v>
      </x:c>
      <x:c r="C200" s="85" t="n">
        <x:v>0.5375</x:v>
      </x:c>
      <x:c r="D200" s="85" t="n">
        <x:v>0.6715277777777777</x:v>
      </x:c>
      <x:c r="E200" s="85" t="n">
        <x:v>0.7131944444444445</x:v>
      </x:c>
      <x:c r="F200" s="85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  <x:c r="S200" t="n">
        <x:v>0</x:v>
      </x:c>
      <x:c r="T200" t="str">
        <x:f>TEXT(INT(S200/60),"00")&amp;":"&amp;TEXT(MOD(S200,60),"00")</x:f>
        <x:v>00:00</x:v>
      </x:c>
      <x:c r="W200" t="n">
        <x:f>IF(S200&gt;0,1,0)</x:f>
        <x:v>0</x:v>
      </x:c>
    </x:row>
    <x:row r="201" ht="21" customHeight="1">
      <x:c r="A201" s="83" t="n">
        <x:v>45947</x:v>
      </x:c>
      <x:c r="B201" t="str">
        <x:v>sexta-feira</x:v>
      </x:c>
      <x:c r="C201" s="85" t="n">
        <x:v>0.5472222222222223</x:v>
      </x:c>
      <x:c r="D201" s="85" t="n">
        <x:v>0.6666666666666666</x:v>
      </x:c>
      <x:c r="E201" s="85" t="n">
        <x:v>0.7076388888888889</x:v>
      </x:c>
      <x:c r="F201" s="85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  <x:c r="S201" t="n">
        <x:v>0</x:v>
      </x:c>
      <x:c r="T201" t="str">
        <x:f>TEXT(INT(S201/60),"00")&amp;":"&amp;TEXT(MOD(S201,60),"00")</x:f>
        <x:v>00:00</x:v>
      </x:c>
      <x:c r="W201" t="n">
        <x:f>IF(S201&gt;0,1,0)</x:f>
        <x:v>0</x:v>
      </x:c>
    </x:row>
    <x:row r="202" ht="21" customHeight="1">
      <x:c r="A202" s="83" t="n">
        <x:v>45948</x:v>
      </x:c>
      <x:c r="B202" t="str">
        <x:v>sábado</x:v>
      </x:c>
      <x:c r="C202" s="85" t="n">
        <x:v>0.5388888888888889</x:v>
      </x:c>
      <x:c r="D202" s="85"/>
      <x:c r="E202" s="85"/>
      <x:c r="F202" s="85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  <x:c r="S202" t="n">
        <x:v>0</x:v>
      </x:c>
      <x:c r="T202" t="str">
        <x:f>TEXT(INT(S202/60),"00")&amp;":"&amp;TEXT(MOD(S202,60),"00")</x:f>
        <x:v>00:00</x:v>
      </x:c>
      <x:c r="W202" t="n">
        <x:f>IF(S202&gt;0,1,0)</x:f>
        <x:v>0</x:v>
      </x:c>
    </x:row>
    <x:row r="203" ht="21" customHeight="1">
      <x:c r="A203" s="83" t="n">
        <x:v>45950</x:v>
      </x:c>
      <x:c r="B203" t="str">
        <x:v>segunda-feira</x:v>
      </x:c>
      <x:c r="C203" s="85" t="n">
        <x:v>0.5458333333333333</x:v>
      </x:c>
      <x:c r="D203" s="85" t="n">
        <x:v>0.6680555555555555</x:v>
      </x:c>
      <x:c r="E203" s="85" t="n">
        <x:v>0.7104166666666667</x:v>
      </x:c>
      <x:c r="F203" s="85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  <x:c r="S203" t="n">
        <x:v>0</x:v>
      </x:c>
      <x:c r="T203" t="str">
        <x:f>TEXT(INT(S203/60),"00")&amp;":"&amp;TEXT(MOD(S203,60),"00")</x:f>
        <x:v>00:00</x:v>
      </x:c>
      <x:c r="W203" t="n">
        <x:f>IF(S203&gt;0,1,0)</x:f>
        <x:v>0</x:v>
      </x:c>
    </x:row>
    <x:row r="204" ht="21" customHeight="1">
      <x:c r="A204" s="83" t="n">
        <x:v>45951</x:v>
      </x:c>
      <x:c r="B204" t="str">
        <x:v>terça-feira</x:v>
      </x:c>
      <x:c r="C204" s="85" t="n">
        <x:v>0.5423611111111111</x:v>
      </x:c>
      <x:c r="D204" s="85" t="n">
        <x:v>0.6673611111111111</x:v>
      </x:c>
      <x:c r="E204" s="85" t="n">
        <x:v>0.7076388888888889</x:v>
      </x:c>
      <x:c r="F204" s="85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  <x:c r="S204" t="n">
        <x:v>0</x:v>
      </x:c>
      <x:c r="T204" t="str">
        <x:f>TEXT(INT(S204/60),"00")&amp;":"&amp;TEXT(MOD(S204,60),"00")</x:f>
        <x:v>00:00</x:v>
      </x:c>
      <x:c r="W204" t="n">
        <x:f>IF(S204&gt;0,1,0)</x:f>
        <x:v>0</x:v>
      </x:c>
    </x:row>
    <x:row r="205" ht="21" customHeight="1">
      <x:c r="A205" s="83" t="n">
        <x:v>45952</x:v>
      </x:c>
      <x:c r="B205" t="str">
        <x:v>quarta-feira</x:v>
      </x:c>
      <x:c r="C205" s="85" t="n">
        <x:v>0.5409722222222222</x:v>
      </x:c>
      <x:c r="D205" s="85" t="n">
        <x:v>0.6770833333333334</x:v>
      </x:c>
      <x:c r="E205" s="85" t="n">
        <x:v>0.7159722222222222</x:v>
      </x:c>
      <x:c r="F205" s="85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  <x:c r="S205" t="n">
        <x:v>0</x:v>
      </x:c>
      <x:c r="T205" t="str">
        <x:f>TEXT(INT(S205/60),"00")&amp;":"&amp;TEXT(MOD(S205,60),"00")</x:f>
        <x:v>00:00</x:v>
      </x:c>
      <x:c r="W205" t="n">
        <x:f>IF(S205&gt;0,1,0)</x:f>
        <x:v>0</x:v>
      </x:c>
    </x:row>
    <x:row r="206" ht="21" customHeight="1">
      <x:c r="A206" s="83" t="n">
        <x:v>45953</x:v>
      </x:c>
      <x:c r="B206" t="str">
        <x:v>quinta-feira</x:v>
      </x:c>
      <x:c r="C206" s="85" t="n">
        <x:v>0.5465277777777777</x:v>
      </x:c>
      <x:c r="D206" s="85" t="n">
        <x:v>0.6770833333333334</x:v>
      </x:c>
      <x:c r="E206" s="85" t="n">
        <x:v>0.7159722222222222</x:v>
      </x:c>
      <x:c r="F206" s="85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  <x:c r="S206" t="n">
        <x:v>0</x:v>
      </x:c>
      <x:c r="T206" t="str">
        <x:f>TEXT(INT(S206/60),"00")&amp;":"&amp;TEXT(MOD(S206,60),"00")</x:f>
        <x:v>00:00</x:v>
      </x:c>
      <x:c r="W206" t="n">
        <x:f>IF(S206&gt;0,1,0)</x:f>
        <x:v>0</x:v>
      </x:c>
    </x:row>
    <x:row r="207" ht="21" customHeight="1">
      <x:c r="A207" s="83" t="n">
        <x:v>45954</x:v>
      </x:c>
      <x:c r="B207" t="str">
        <x:v>sexta-feira</x:v>
      </x:c>
      <x:c r="C207" s="85" t="n">
        <x:v>0.5451388888888888</x:v>
      </x:c>
      <x:c r="D207" s="85" t="n">
        <x:v>0.6777777777777778</x:v>
      </x:c>
      <x:c r="E207" s="85" t="n">
        <x:v>0.7222222222222222</x:v>
      </x:c>
      <x:c r="F207" s="85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  <x:c r="S207" t="n">
        <x:v>0</x:v>
      </x:c>
      <x:c r="T207" t="str">
        <x:f>TEXT(INT(S207/60),"00")&amp;":"&amp;TEXT(MOD(S207,60),"00")</x:f>
        <x:v>00:00</x:v>
      </x:c>
      <x:c r="W207" t="n">
        <x:f>IF(S207&gt;0,1,0)</x:f>
        <x:v>0</x:v>
      </x:c>
    </x:row>
    <x:row r="208" ht="21" customHeight="1">
      <x:c r="A208" s="83" t="n">
        <x:v>45955</x:v>
      </x:c>
      <x:c r="B208" t="str">
        <x:v>sábado</x:v>
      </x:c>
      <x:c r="C208" s="85" t="n">
        <x:v>0.5416666666666666</x:v>
      </x:c>
      <x:c r="D208" s="85"/>
      <x:c r="E208" s="85"/>
      <x:c r="F208" s="85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  <x:c r="S208" t="n">
        <x:v>0</x:v>
      </x:c>
      <x:c r="T208" t="str">
        <x:f>TEXT(INT(S208/60),"00")&amp;":"&amp;TEXT(MOD(S208,60),"00")</x:f>
        <x:v>00:00</x:v>
      </x:c>
      <x:c r="W208" t="n">
        <x:f>IF(S208&gt;0,1,0)</x:f>
        <x:v>0</x:v>
      </x:c>
    </x:row>
    <x:row r="209" ht="21" customHeight="1">
      <x:c r="A209" s="83" t="n">
        <x:v>45957</x:v>
      </x:c>
      <x:c r="B209" t="str">
        <x:v>segunda-feira</x:v>
      </x:c>
      <x:c r="C209" s="85" t="n">
        <x:v>0.5451388888888888</x:v>
      </x:c>
      <x:c r="D209" s="85" t="n">
        <x:v>0.6798611111111111</x:v>
      </x:c>
      <x:c r="E209" s="85" t="n">
        <x:v>0.7208333333333333</x:v>
      </x:c>
      <x:c r="F209" s="85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  <x:c r="S209" t="n">
        <x:v>0</x:v>
      </x:c>
      <x:c r="T209" t="str">
        <x:f>TEXT(INT(S209/60),"00")&amp;":"&amp;TEXT(MOD(S209,60),"00")</x:f>
        <x:v>00:00</x:v>
      </x:c>
      <x:c r="W209" t="n">
        <x:f>IF(S209&gt;0,1,0)</x:f>
        <x:v>0</x:v>
      </x:c>
    </x:row>
    <x:row r="210" ht="21" customHeight="1">
      <x:c r="A210" s="83" t="n">
        <x:v>45958</x:v>
      </x:c>
      <x:c r="B210" t="str">
        <x:v>terça-feira</x:v>
      </x:c>
      <x:c r="C210" s="85" t="n">
        <x:v>0.5416666666666666</x:v>
      </x:c>
      <x:c r="D210" s="85" t="n">
        <x:v>0.6715277777777777</x:v>
      </x:c>
      <x:c r="E210" s="85" t="n">
        <x:v>0.7145833333333333</x:v>
      </x:c>
      <x:c r="F210" s="85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  <x:c r="S210" t="n">
        <x:v>0</x:v>
      </x:c>
      <x:c r="T210" t="str">
        <x:f>TEXT(INT(S210/60),"00")&amp;":"&amp;TEXT(MOD(S210,60),"00")</x:f>
        <x:v>00:00</x:v>
      </x:c>
      <x:c r="W210" t="n">
        <x:f>IF(S210&gt;0,1,0)</x:f>
        <x:v>0</x:v>
      </x:c>
    </x:row>
    <x:row r="211" ht="21" customHeight="1">
      <x:c r="A211" s="83" t="n">
        <x:v>45959</x:v>
      </x:c>
      <x:c r="B211" t="str">
        <x:v>quarta-feira</x:v>
      </x:c>
      <x:c r="C211" s="85" t="n">
        <x:v>0.5458333333333333</x:v>
      </x:c>
      <x:c r="D211" s="85" t="n">
        <x:v>0.6722222222222223</x:v>
      </x:c>
      <x:c r="E211" s="85" t="n">
        <x:v>0.7152777777777778</x:v>
      </x:c>
      <x:c r="F211" s="85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  <x:c r="S211" t="n">
        <x:v>0</x:v>
      </x:c>
      <x:c r="T211" t="str">
        <x:f>TEXT(INT(S211/60),"00")&amp;":"&amp;TEXT(MOD(S211,60),"00")</x:f>
        <x:v>00:00</x:v>
      </x:c>
      <x:c r="W211" t="n">
        <x:f>IF(S211&gt;0,1,0)</x:f>
        <x:v>0</x:v>
      </x:c>
    </x:row>
    <x:row r="212" ht="21" customHeight="1">
      <x:c r="A212" s="83" t="n">
        <x:v>45960</x:v>
      </x:c>
      <x:c r="B212" t="str">
        <x:v>quinta-feira</x:v>
      </x:c>
      <x:c r="C212" s="85" t="n">
        <x:v>0.5465277777777777</x:v>
      </x:c>
      <x:c r="D212" s="85" t="n">
        <x:v>0.6763888888888889</x:v>
      </x:c>
      <x:c r="E212" s="85" t="n">
        <x:v>0.7173611111111111</x:v>
      </x:c>
      <x:c r="F212" s="85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  <x:c r="S212" t="n">
        <x:v>0</x:v>
      </x:c>
      <x:c r="T212" t="str">
        <x:f>TEXT(INT(S212/60),"00")&amp;":"&amp;TEXT(MOD(S212,60),"00")</x:f>
        <x:v>00:00</x:v>
      </x:c>
      <x:c r="W212" t="n">
        <x:f>IF(S212&gt;0,1,0)</x:f>
        <x:v>0</x:v>
      </x:c>
    </x:row>
    <x:row r="213" ht="21" customHeight="1">
      <x:c r="A213" s="83" t="n">
        <x:v>45961</x:v>
      </x:c>
      <x:c r="B213" t="str">
        <x:v>sexta-feira</x:v>
      </x:c>
      <x:c r="C213" s="85" t="n">
        <x:v>0.5444444444444444</x:v>
      </x:c>
      <x:c r="D213" s="85" t="n">
        <x:v>0.6722222222222223</x:v>
      </x:c>
      <x:c r="E213" s="85" t="n">
        <x:v>0.7125</x:v>
      </x:c>
      <x:c r="F213" s="85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  <x:c r="S213" t="n">
        <x:v>0</x:v>
      </x:c>
      <x:c r="T213" t="str">
        <x:f>TEXT(INT(S213/60),"00")&amp;":"&amp;TEXT(MOD(S213,60),"00")</x:f>
        <x:v>00:00</x:v>
      </x:c>
      <x:c r="W213" t="n">
        <x:f>IF(S213&gt;0,1,0)</x:f>
        <x:v>0</x:v>
      </x:c>
    </x:row>
    <x:row r="214" ht="21" customHeight="1">
      <x:c r="A214" s="83" t="n">
        <x:v>45962</x:v>
      </x:c>
      <x:c r="B214" t="str">
        <x:v>sábado</x:v>
      </x:c>
      <x:c r="C214" s="85" t="n">
        <x:v>0.5381944444444444</x:v>
      </x:c>
      <x:c r="D214" s="85" t="n">
        <x:v>0.6770833333333334</x:v>
      </x:c>
      <x:c r="E214" s="85" t="n">
        <x:v>0.6875</x:v>
      </x:c>
      <x:c r="F214" s="85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  <x:c r="S214" t="n">
        <x:v>0</x:v>
      </x:c>
      <x:c r="T214" t="str">
        <x:f>TEXT(INT(S214/60),"00")&amp;":"&amp;TEXT(MOD(S214,60),"00")</x:f>
        <x:v>00:00</x:v>
      </x:c>
      <x:c r="W214" t="n">
        <x:f>IF(S214&gt;0,1,0)</x:f>
        <x:v>0</x:v>
      </x:c>
    </x:row>
    <x:row r="215" ht="21" customHeight="1">
      <x:c r="A215" s="83" t="n">
        <x:v>45964</x:v>
      </x:c>
      <x:c r="B215" t="str">
        <x:v>segunda-feira</x:v>
      </x:c>
      <x:c r="C215" s="85" t="n">
        <x:v>0.5381944444444444</x:v>
      </x:c>
      <x:c r="D215" s="85" t="n">
        <x:v>0.6763888888888889</x:v>
      </x:c>
      <x:c r="E215" s="85" t="n">
        <x:v>0.7159722222222222</x:v>
      </x:c>
      <x:c r="F215" s="85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  <x:c r="S215" t="n">
        <x:v>0</x:v>
      </x:c>
      <x:c r="T215" t="str">
        <x:f>TEXT(INT(S215/60),"00")&amp;":"&amp;TEXT(MOD(S215,60),"00")</x:f>
        <x:v>00:00</x:v>
      </x:c>
      <x:c r="W215" t="n">
        <x:f>IF(S215&gt;0,1,0)</x:f>
        <x:v>0</x:v>
      </x:c>
    </x:row>
    <x:row r="216" ht="21" customHeight="1">
      <x:c r="A216" s="83" t="n">
        <x:v>45965</x:v>
      </x:c>
      <x:c r="B216" t="str">
        <x:v>terça-feira</x:v>
      </x:c>
      <x:c r="C216" s="85" t="n">
        <x:v>0.5416666666666666</x:v>
      </x:c>
      <x:c r="D216" s="85" t="n">
        <x:v>0.6680555555555555</x:v>
      </x:c>
      <x:c r="E216" s="85" t="n">
        <x:v>0.7090277777777778</x:v>
      </x:c>
      <x:c r="F216" s="85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  <x:c r="S216" t="n">
        <x:v>0</x:v>
      </x:c>
      <x:c r="T216" t="str">
        <x:f>TEXT(INT(S216/60),"00")&amp;":"&amp;TEXT(MOD(S216,60),"00")</x:f>
        <x:v>00:00</x:v>
      </x:c>
      <x:c r="W216" t="n">
        <x:f>IF(S216&gt;0,1,0)</x:f>
        <x:v>0</x:v>
      </x:c>
    </x:row>
    <x:row r="217" ht="21" customHeight="1">
      <x:c r="A217" s="83" t="n">
        <x:v>45966</x:v>
      </x:c>
      <x:c r="B217" t="str">
        <x:v>quarta-feira</x:v>
      </x:c>
      <x:c r="C217" s="85" t="n">
        <x:v>0.5451388888888888</x:v>
      </x:c>
      <x:c r="D217" s="85" t="n">
        <x:v>0.6791666666666667</x:v>
      </x:c>
      <x:c r="E217" s="85" t="n">
        <x:v>0.7201388888888889</x:v>
      </x:c>
      <x:c r="F217" s="85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  <x:c r="S217" t="n">
        <x:v>0</x:v>
      </x:c>
      <x:c r="T217" t="str">
        <x:f>TEXT(INT(S217/60),"00")&amp;":"&amp;TEXT(MOD(S217,60),"00")</x:f>
        <x:v>00:00</x:v>
      </x:c>
      <x:c r="W217" t="n">
        <x:f>IF(S217&gt;0,1,0)</x:f>
        <x:v>0</x:v>
      </x:c>
    </x:row>
    <x:row r="218" ht="21" customHeight="1">
      <x:c r="A218" s="83" t="n">
        <x:v>45967</x:v>
      </x:c>
      <x:c r="B218" t="str">
        <x:v>quinta-feira</x:v>
      </x:c>
      <x:c r="C218" s="85" t="n">
        <x:v>0.5409722222222222</x:v>
      </x:c>
      <x:c r="D218" s="85" t="n">
        <x:v>0.6743055555555556</x:v>
      </x:c>
      <x:c r="E218" s="85" t="n">
        <x:v>0.7138888888888889</x:v>
      </x:c>
      <x:c r="F218" s="85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  <x:c r="S218" t="n">
        <x:v>0</x:v>
      </x:c>
      <x:c r="T218" t="str">
        <x:f>TEXT(INT(S218/60),"00")&amp;":"&amp;TEXT(MOD(S218,60),"00")</x:f>
        <x:v>00:00</x:v>
      </x:c>
      <x:c r="W218" t="n">
        <x:f>IF(S218&gt;0,1,0)</x:f>
        <x:v>0</x:v>
      </x:c>
    </x:row>
    <x:row r="219" ht="21" customHeight="1">
      <x:c r="A219" s="83" t="n">
        <x:v>45968</x:v>
      </x:c>
      <x:c r="B219" t="str">
        <x:v>sexta-feira</x:v>
      </x:c>
      <x:c r="C219" s="85" t="n">
        <x:v>0.5395833333333333</x:v>
      </x:c>
      <x:c r="D219" s="85" t="n">
        <x:v>0.6756944444444445</x:v>
      </x:c>
      <x:c r="E219" s="85" t="n">
        <x:v>0.7173611111111111</x:v>
      </x:c>
      <x:c r="F219" s="85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  <x:c r="S219" t="n">
        <x:v>0</x:v>
      </x:c>
      <x:c r="T219" t="str">
        <x:f>TEXT(INT(S219/60),"00")&amp;":"&amp;TEXT(MOD(S219,60),"00")</x:f>
        <x:v>00:00</x:v>
      </x:c>
      <x:c r="W219" t="n">
        <x:f>IF(S219&gt;0,1,0)</x:f>
        <x:v>0</x:v>
      </x:c>
    </x:row>
    <x:row r="220" ht="21" customHeight="1">
      <x:c r="A220" s="83" t="n">
        <x:v>45969</x:v>
      </x:c>
      <x:c r="B220" t="str">
        <x:v>sábado</x:v>
      </x:c>
      <x:c r="C220" s="85" t="n">
        <x:v>0.5409722222222222</x:v>
      </x:c>
      <x:c r="D220" s="85" t="n">
        <x:v>0.6493055555555556</x:v>
      </x:c>
      <x:c r="E220" s="85" t="n">
        <x:v>0.6597222222222222</x:v>
      </x:c>
      <x:c r="F220" s="85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  <x:c r="S220" t="n">
        <x:v>0</x:v>
      </x:c>
      <x:c r="T220" t="str">
        <x:f>TEXT(INT(S220/60),"00")&amp;":"&amp;TEXT(MOD(S220,60),"00")</x:f>
        <x:v>00:00</x:v>
      </x:c>
      <x:c r="W220" t="n">
        <x:f>IF(S220&gt;0,1,0)</x:f>
        <x:v>0</x:v>
      </x:c>
    </x:row>
    <x:row r="221" ht="21" customHeight="1">
      <x:c r="A221" s="83" t="n">
        <x:v>45971</x:v>
      </x:c>
      <x:c r="B221" t="str">
        <x:v>segunda-feira</x:v>
      </x:c>
      <x:c r="C221" s="85" t="n">
        <x:v>0.5444444444444444</x:v>
      </x:c>
      <x:c r="D221" s="85" t="n">
        <x:v>0.6736111111111112</x:v>
      </x:c>
      <x:c r="E221" s="85" t="n">
        <x:v>0.7173611111111111</x:v>
      </x:c>
      <x:c r="F221" s="85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  <x:c r="S221" t="n">
        <x:v>0</x:v>
      </x:c>
      <x:c r="T221" t="str">
        <x:f>TEXT(INT(S221/60),"00")&amp;":"&amp;TEXT(MOD(S221,60),"00")</x:f>
        <x:v>00:00</x:v>
      </x:c>
      <x:c r="W221" t="n">
        <x:f>IF(S221&gt;0,1,0)</x:f>
        <x:v>0</x:v>
      </x:c>
    </x:row>
    <x:row r="222" ht="21" customHeight="1">
      <x:c r="A222" s="83" t="n">
        <x:v>45972</x:v>
      </x:c>
      <x:c r="B222" t="str">
        <x:v>terça-feira</x:v>
      </x:c>
      <x:c r="C222" s="85" t="n">
        <x:v>0.54375</x:v>
      </x:c>
      <x:c r="D222" s="85" t="n">
        <x:v>0.6791666666666667</x:v>
      </x:c>
      <x:c r="E222" s="85" t="n">
        <x:v>0.71875</x:v>
      </x:c>
      <x:c r="F222" s="85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  <x:c r="S222" t="n">
        <x:v>0</x:v>
      </x:c>
      <x:c r="T222" t="str">
        <x:f>TEXT(INT(S222/60),"00")&amp;":"&amp;TEXT(MOD(S222,60),"00")</x:f>
        <x:v>00:00</x:v>
      </x:c>
      <x:c r="W222" t="n">
        <x:f>IF(S222&gt;0,1,0)</x:f>
        <x:v>0</x:v>
      </x:c>
    </x:row>
    <x:row r="223" ht="21" customHeight="1">
      <x:c r="A223" s="83" t="n">
        <x:v>45973</x:v>
      </x:c>
      <x:c r="B223" t="str">
        <x:v>quarta-feira</x:v>
      </x:c>
      <x:c r="C223" s="85" t="n">
        <x:v>0.5395833333333333</x:v>
      </x:c>
      <x:c r="D223" s="85" t="n">
        <x:v>0.6673611111111111</x:v>
      </x:c>
      <x:c r="E223" s="85" t="n">
        <x:v>0.7069444444444445</x:v>
      </x:c>
      <x:c r="F223" s="85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  <x:c r="S223" t="n">
        <x:v>0</x:v>
      </x:c>
      <x:c r="T223" t="str">
        <x:f>TEXT(INT(S223/60),"00")&amp;":"&amp;TEXT(MOD(S223,60),"00")</x:f>
        <x:v>00:00</x:v>
      </x:c>
      <x:c r="W223" t="n">
        <x:f>IF(S223&gt;0,1,0)</x:f>
        <x:v>0</x:v>
      </x:c>
    </x:row>
    <x:row r="224" ht="21" customHeight="1">
      <x:c r="A224" s="83" t="n">
        <x:v>45974</x:v>
      </x:c>
      <x:c r="B224" t="str">
        <x:v>quinta-feira</x:v>
      </x:c>
      <x:c r="C224" s="85" t="n">
        <x:v>0.5375</x:v>
      </x:c>
      <x:c r="D224" s="85" t="n">
        <x:v>0.6791666666666667</x:v>
      </x:c>
      <x:c r="E224" s="85" t="n">
        <x:v>0.71875</x:v>
      </x:c>
      <x:c r="F224" s="85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  <x:c r="S224" t="n">
        <x:v>0</x:v>
      </x:c>
      <x:c r="T224" t="str">
        <x:f>TEXT(INT(S224/60),"00")&amp;":"&amp;TEXT(MOD(S224,60),"00")</x:f>
        <x:v>00:00</x:v>
      </x:c>
      <x:c r="W224" t="n">
        <x:f>IF(S224&gt;0,1,0)</x:f>
        <x:v>0</x:v>
      </x:c>
    </x:row>
    <x:row r="225" ht="21" customHeight="1">
      <x:c r="A225" s="83" t="n">
        <x:v>45975</x:v>
      </x:c>
      <x:c r="B225" t="str">
        <x:v>sexta-feira</x:v>
      </x:c>
      <x:c r="C225" s="85" t="n">
        <x:v>0.5430555555555555</x:v>
      </x:c>
      <x:c r="D225" s="85" t="n">
        <x:v>0.6701388888888888</x:v>
      </x:c>
      <x:c r="E225" s="85" t="n">
        <x:v>0.7090277777777778</x:v>
      </x:c>
      <x:c r="F225" s="85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  <x:c r="S225" t="n">
        <x:v>0</x:v>
      </x:c>
      <x:c r="T225" t="str">
        <x:f>TEXT(INT(S225/60),"00")&amp;":"&amp;TEXT(MOD(S225,60),"00")</x:f>
        <x:v>00:00</x:v>
      </x:c>
      <x:c r="W225" t="n">
        <x:f>IF(S225&gt;0,1,0)</x:f>
        <x:v>0</x:v>
      </x:c>
    </x:row>
    <x:row r="226" ht="21" customHeight="1">
      <x:c r="A226" s="83" t="n">
        <x:v>45976</x:v>
      </x:c>
      <x:c r="B226" t="str">
        <x:v>sábado</x:v>
      </x:c>
      <x:c r="C226" s="85" t="n">
        <x:v>0.5409722222222222</x:v>
      </x:c>
      <x:c r="D226" s="85"/>
      <x:c r="E226" s="85"/>
      <x:c r="F226" s="85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  <x:c r="S226" t="n">
        <x:v>0</x:v>
      </x:c>
      <x:c r="T226" t="str">
        <x:f>TEXT(INT(S226/60),"00")&amp;":"&amp;TEXT(MOD(S226,60),"00")</x:f>
        <x:v>00:00</x:v>
      </x:c>
      <x:c r="W226" t="n">
        <x:f>IF(S226&gt;0,1,0)</x:f>
        <x:v>0</x:v>
      </x:c>
    </x:row>
    <x:row r="227" ht="21" customHeight="1">
      <x:c r="A227" s="83" t="n">
        <x:v>45978</x:v>
      </x:c>
      <x:c r="B227" t="str">
        <x:v>segunda-feira</x:v>
      </x:c>
      <x:c r="C227" s="85" t="n">
        <x:v>0.5402777777777777</x:v>
      </x:c>
      <x:c r="D227" s="85" t="n">
        <x:v>0.6722222222222223</x:v>
      </x:c>
      <x:c r="E227" s="85" t="n">
        <x:v>0.7118055555555556</x:v>
      </x:c>
      <x:c r="F227" s="85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  <x:c r="S227" t="n">
        <x:v>0</x:v>
      </x:c>
      <x:c r="T227" t="str">
        <x:f>TEXT(INT(S227/60),"00")&amp;":"&amp;TEXT(MOD(S227,60),"00")</x:f>
        <x:v>00:00</x:v>
      </x:c>
      <x:c r="W227" t="n">
        <x:f>IF(S227&gt;0,1,0)</x:f>
        <x:v>0</x:v>
      </x:c>
    </x:row>
    <x:row r="228" ht="21" customHeight="1">
      <x:c r="A228" s="83" t="n">
        <x:v>45979</x:v>
      </x:c>
      <x:c r="B228" t="str">
        <x:v>terça-feira</x:v>
      </x:c>
      <x:c r="C228" s="85" t="n">
        <x:v>0.5375</x:v>
      </x:c>
      <x:c r="D228" s="85" t="n">
        <x:v>0.6666666666666666</x:v>
      </x:c>
      <x:c r="E228" s="85" t="n">
        <x:v>0.7090277777777778</x:v>
      </x:c>
      <x:c r="F228" s="85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  <x:c r="S228" t="n">
        <x:v>0</x:v>
      </x:c>
      <x:c r="T228" t="str">
        <x:f>TEXT(INT(S228/60),"00")&amp;":"&amp;TEXT(MOD(S228,60),"00")</x:f>
        <x:v>00:00</x:v>
      </x:c>
      <x:c r="W228" t="n">
        <x:f>IF(S228&gt;0,1,0)</x:f>
        <x:v>0</x:v>
      </x:c>
    </x:row>
    <x:row r="229" ht="21" customHeight="1">
      <x:c r="A229" s="83" t="n">
        <x:v>45980</x:v>
      </x:c>
      <x:c r="B229" t="str">
        <x:v>quarta-feira</x:v>
      </x:c>
      <x:c r="C229" s="85" t="n">
        <x:v>0.5430555555555555</x:v>
      </x:c>
      <x:c r="D229" s="85" t="n">
        <x:v>0.6659722222222222</x:v>
      </x:c>
      <x:c r="E229" s="85" t="n">
        <x:v>0.70625</x:v>
      </x:c>
      <x:c r="F229" s="85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  <x:c r="S229" t="n">
        <x:v>0</x:v>
      </x:c>
      <x:c r="T229" t="str">
        <x:f>TEXT(INT(S229/60),"00")&amp;":"&amp;TEXT(MOD(S229,60),"00")</x:f>
        <x:v>00:00</x:v>
      </x:c>
      <x:c r="W229" t="n">
        <x:f>IF(S229&gt;0,1,0)</x:f>
        <x:v>0</x:v>
      </x:c>
    </x:row>
    <x:row r="230" ht="21" customHeight="1">
      <x:c r="A230" s="83" t="n">
        <x:v>45981</x:v>
      </x:c>
      <x:c r="B230" t="str">
        <x:v>quinta-feira</x:v>
      </x:c>
      <x:c r="C230" s="85" t="n">
        <x:v>0.5388888888888889</x:v>
      </x:c>
      <x:c r="D230" s="85" t="n">
        <x:v>0.6743055555555556</x:v>
      </x:c>
      <x:c r="E230" s="85" t="n">
        <x:v>0.7159722222222222</x:v>
      </x:c>
      <x:c r="F230" s="85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  <x:c r="S230" t="n">
        <x:v>0</x:v>
      </x:c>
      <x:c r="T230" t="str">
        <x:f>TEXT(INT(S230/60),"00")&amp;":"&amp;TEXT(MOD(S230,60),"00")</x:f>
        <x:v>00:00</x:v>
      </x:c>
      <x:c r="W230" t="n">
        <x:f>IF(S230&gt;0,1,0)</x:f>
        <x:v>0</x:v>
      </x:c>
    </x:row>
    <x:row r="231" ht="21" customHeight="1">
      <x:c r="A231" s="83" t="n">
        <x:v>45982</x:v>
      </x:c>
      <x:c r="B231" t="str">
        <x:v>sexta-feira</x:v>
      </x:c>
      <x:c r="C231" s="85" t="n">
        <x:v>0.5430555555555555</x:v>
      </x:c>
      <x:c r="D231" s="85" t="n">
        <x:v>0.6708333333333333</x:v>
      </x:c>
      <x:c r="E231" s="85" t="n">
        <x:v>0.7118055555555556</x:v>
      </x:c>
      <x:c r="F231" s="85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  <x:c r="S231" t="n">
        <x:v>0</x:v>
      </x:c>
      <x:c r="T231" t="str">
        <x:f>TEXT(INT(S231/60),"00")&amp;":"&amp;TEXT(MOD(S231,60),"00")</x:f>
        <x:v>00:00</x:v>
      </x:c>
      <x:c r="W231" t="n">
        <x:f>IF(S231&gt;0,1,0)</x:f>
        <x:v>0</x:v>
      </x:c>
    </x:row>
    <x:row r="232" ht="21" customHeight="1">
      <x:c r="A232" s="83" t="n">
        <x:v>45983</x:v>
      </x:c>
      <x:c r="B232" t="str">
        <x:v>sábado</x:v>
      </x:c>
      <x:c r="C232" s="85" t="n">
        <x:v>0.5409722222222222</x:v>
      </x:c>
      <x:c r="D232" s="85"/>
      <x:c r="E232" s="85"/>
      <x:c r="F232" s="85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  <x:c r="S232" t="n">
        <x:v>0</x:v>
      </x:c>
      <x:c r="T232" t="str">
        <x:f>TEXT(INT(S232/60),"00")&amp;":"&amp;TEXT(MOD(S232,60),"00")</x:f>
        <x:v>00:00</x:v>
      </x:c>
      <x:c r="W232" t="n">
        <x:f>IF(S232&gt;0,1,0)</x:f>
        <x:v>0</x:v>
      </x:c>
    </x:row>
    <x:row r="233" ht="21" customHeight="1">
      <x:c r="A233" s="83" t="n">
        <x:v>45985</x:v>
      </x:c>
      <x:c r="B233" t="str">
        <x:v>segunda-feira</x:v>
      </x:c>
      <x:c r="C233" s="85" t="n">
        <x:v>0.5381944444444444</x:v>
      </x:c>
      <x:c r="D233" s="85" t="n">
        <x:v>0.6777777777777778</x:v>
      </x:c>
      <x:c r="E233" s="85" t="n">
        <x:v>0.7215277777777778</x:v>
      </x:c>
      <x:c r="F233" s="85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  <x:c r="S233" t="n">
        <x:v>0</x:v>
      </x:c>
      <x:c r="T233" t="str">
        <x:f>TEXT(INT(S233/60),"00")&amp;":"&amp;TEXT(MOD(S233,60),"00")</x:f>
        <x:v>00:00</x:v>
      </x:c>
      <x:c r="W233" t="n">
        <x:f>IF(S233&gt;0,1,0)</x:f>
        <x:v>0</x:v>
      </x:c>
    </x:row>
    <x:row r="234" ht="21" customHeight="1">
      <x:c r="A234" s="83" t="n">
        <x:v>45986</x:v>
      </x:c>
      <x:c r="B234" t="str">
        <x:v>terça-feira</x:v>
      </x:c>
      <x:c r="C234" s="85" t="n">
        <x:v>0.5465277777777777</x:v>
      </x:c>
      <x:c r="D234" s="85" t="n">
        <x:v>0.6798611111111111</x:v>
      </x:c>
      <x:c r="E234" s="85" t="n">
        <x:v>0.7194444444444444</x:v>
      </x:c>
      <x:c r="F234" s="85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  <x:c r="S234" t="n">
        <x:v>0</x:v>
      </x:c>
      <x:c r="T234" t="str">
        <x:f>TEXT(INT(S234/60),"00")&amp;":"&amp;TEXT(MOD(S234,60),"00")</x:f>
        <x:v>00:00</x:v>
      </x:c>
      <x:c r="W234" t="n">
        <x:f>IF(S234&gt;0,1,0)</x:f>
        <x:v>0</x:v>
      </x:c>
    </x:row>
    <x:row r="235" ht="21" customHeight="1">
      <x:c r="A235" s="83" t="n">
        <x:v>45987</x:v>
      </x:c>
      <x:c r="B235" t="str">
        <x:v>quarta-feira</x:v>
      </x:c>
      <x:c r="C235" s="85" t="n">
        <x:v>0.5388888888888889</x:v>
      </x:c>
      <x:c r="D235" s="85" t="n">
        <x:v>0.6708333333333333</x:v>
      </x:c>
      <x:c r="E235" s="85" t="n">
        <x:v>0.7125</x:v>
      </x:c>
      <x:c r="F235" s="85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  <x:c r="S235" t="n">
        <x:v>0</x:v>
      </x:c>
      <x:c r="T235" t="str">
        <x:f>TEXT(INT(S235/60),"00")&amp;":"&amp;TEXT(MOD(S235,60),"00")</x:f>
        <x:v>00:00</x:v>
      </x:c>
      <x:c r="W235" t="n">
        <x:f>IF(S235&gt;0,1,0)</x:f>
        <x:v>0</x:v>
      </x:c>
    </x:row>
    <x:row r="236" ht="21" customHeight="1">
      <x:c r="A236" s="83" t="n">
        <x:v>45988</x:v>
      </x:c>
      <x:c r="B236" t="str">
        <x:v>quinta-feira</x:v>
      </x:c>
      <x:c r="C236" s="85" t="n">
        <x:v>0.5381944444444444</x:v>
      </x:c>
      <x:c r="D236" s="85" t="n">
        <x:v>0.66875</x:v>
      </x:c>
      <x:c r="E236" s="85" t="n">
        <x:v>0.7125</x:v>
      </x:c>
      <x:c r="F236" s="85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  <x:c r="S236" t="n">
        <x:v>0</x:v>
      </x:c>
      <x:c r="T236" t="str">
        <x:f>TEXT(INT(S236/60),"00")&amp;":"&amp;TEXT(MOD(S236,60),"00")</x:f>
        <x:v>00:00</x:v>
      </x:c>
      <x:c r="W236" t="n">
        <x:f>IF(S236&gt;0,1,0)</x:f>
        <x:v>0</x:v>
      </x:c>
    </x:row>
    <x:row r="237" ht="21" customHeight="1">
      <x:c r="A237" s="83" t="n">
        <x:v>45989</x:v>
      </x:c>
      <x:c r="B237" t="str">
        <x:v>sexta-feira</x:v>
      </x:c>
      <x:c r="C237" s="85" t="n">
        <x:v>0.5465277777777777</x:v>
      </x:c>
      <x:c r="D237" s="85" t="n">
        <x:v>0.6701388888888888</x:v>
      </x:c>
      <x:c r="E237" s="85" t="n">
        <x:v>0.7090277777777778</x:v>
      </x:c>
      <x:c r="F237" s="85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  <x:c r="S237" t="n">
        <x:v>0</x:v>
      </x:c>
      <x:c r="T237" t="str">
        <x:f>TEXT(INT(S237/60),"00")&amp;":"&amp;TEXT(MOD(S237,60),"00")</x:f>
        <x:v>00:00</x:v>
      </x:c>
      <x:c r="W237" t="n">
        <x:f>IF(S237&gt;0,1,0)</x:f>
        <x:v>0</x:v>
      </x:c>
    </x:row>
    <x:row r="238" ht="21" customHeight="1">
      <x:c r="A238" s="83" t="n">
        <x:v>45990</x:v>
      </x:c>
      <x:c r="B238" t="str">
        <x:v>sábado</x:v>
      </x:c>
      <x:c r="C238" s="85" t="n">
        <x:v>0.5444444444444444</x:v>
      </x:c>
      <x:c r="D238" s="85"/>
      <x:c r="E238" s="85"/>
      <x:c r="F238" s="85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  <x:c r="S238" t="n">
        <x:v>0</x:v>
      </x:c>
      <x:c r="T238" t="str">
        <x:f>TEXT(INT(S238/60),"00")&amp;":"&amp;TEXT(MOD(S238,60),"00")</x:f>
        <x:v>00:00</x:v>
      </x:c>
      <x:c r="W238" t="n">
        <x:f>IF(S238&gt;0,1,0)</x:f>
        <x:v>0</x:v>
      </x:c>
    </x:row>
    <x:row r="239" ht="21" customHeight="1">
      <x:c r="A239" s="83" t="n">
        <x:v>45992</x:v>
      </x:c>
      <x:c r="B239" t="str">
        <x:v>segunda-feira</x:v>
      </x:c>
      <x:c r="C239" s="85" t="n">
        <x:v>0.5430555555555555</x:v>
      </x:c>
      <x:c r="D239" s="85" t="n">
        <x:v>0.6756944444444445</x:v>
      </x:c>
      <x:c r="E239" s="85" t="n">
        <x:v>0.7201388888888889</x:v>
      </x:c>
      <x:c r="F239" s="85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  <x:c r="S239" t="n">
        <x:v>0</x:v>
      </x:c>
      <x:c r="T239" t="str">
        <x:f>TEXT(INT(S239/60),"00")&amp;":"&amp;TEXT(MOD(S239,60),"00")</x:f>
        <x:v>00:00</x:v>
      </x:c>
      <x:c r="W239" t="n">
        <x:f>IF(S239&gt;0,1,0)</x:f>
        <x:v>0</x:v>
      </x:c>
    </x:row>
    <x:row r="240" ht="21" customHeight="1">
      <x:c r="A240" s="83" t="n">
        <x:v>45993</x:v>
      </x:c>
      <x:c r="B240" t="str">
        <x:v>terça-feira</x:v>
      </x:c>
      <x:c r="C240" s="85" t="n">
        <x:v>0.5395833333333333</x:v>
      </x:c>
      <x:c r="D240" s="85" t="n">
        <x:v>0.6666666666666666</x:v>
      </x:c>
      <x:c r="E240" s="85" t="n">
        <x:v>0.7055555555555556</x:v>
      </x:c>
      <x:c r="F240" s="85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  <x:c r="S240" t="n">
        <x:v>0</x:v>
      </x:c>
      <x:c r="T240" t="str">
        <x:f>TEXT(INT(S240/60),"00")&amp;":"&amp;TEXT(MOD(S240,60),"00")</x:f>
        <x:v>00:00</x:v>
      </x:c>
      <x:c r="W240" t="n">
        <x:f>IF(S240&gt;0,1,0)</x:f>
        <x:v>0</x:v>
      </x:c>
    </x:row>
    <x:row r="241" ht="21" customHeight="1">
      <x:c r="A241" s="83" t="n">
        <x:v>45994</x:v>
      </x:c>
      <x:c r="B241" t="str">
        <x:v>quarta-feira</x:v>
      </x:c>
      <x:c r="C241" s="85" t="n">
        <x:v>0.5416666666666666</x:v>
      </x:c>
      <x:c r="D241" s="85" t="n">
        <x:v>0.6666666666666666</x:v>
      </x:c>
      <x:c r="E241" s="85" t="n">
        <x:v>0.7104166666666667</x:v>
      </x:c>
      <x:c r="F241" s="85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  <x:c r="S241" t="n">
        <x:v>0</x:v>
      </x:c>
      <x:c r="T241" t="str">
        <x:f>TEXT(INT(S241/60),"00")&amp;":"&amp;TEXT(MOD(S241,60),"00")</x:f>
        <x:v>00:00</x:v>
      </x:c>
      <x:c r="W241" t="n">
        <x:f>IF(S241&gt;0,1,0)</x:f>
        <x:v>0</x:v>
      </x:c>
    </x:row>
    <x:row r="242" ht="21" customHeight="1">
      <x:c r="A242" s="83" t="n">
        <x:v>45995</x:v>
      </x:c>
      <x:c r="B242" t="str">
        <x:v>quinta-feira</x:v>
      </x:c>
      <x:c r="C242" s="85" t="n">
        <x:v>0.5395833333333333</x:v>
      </x:c>
      <x:c r="D242" s="85" t="n">
        <x:v>0.675</x:v>
      </x:c>
      <x:c r="E242" s="85" t="n">
        <x:v>0.7145833333333333</x:v>
      </x:c>
      <x:c r="F242" s="85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  <x:c r="S242" t="n">
        <x:v>0</x:v>
      </x:c>
      <x:c r="T242" t="str">
        <x:f>TEXT(INT(S242/60),"00")&amp;":"&amp;TEXT(MOD(S242,60),"00")</x:f>
        <x:v>00:00</x:v>
      </x:c>
      <x:c r="W242" t="n">
        <x:f>IF(S242&gt;0,1,0)</x:f>
        <x:v>0</x:v>
      </x:c>
    </x:row>
    <x:row r="243" ht="21" customHeight="1">
      <x:c r="A243" s="83" t="n">
        <x:v>45996</x:v>
      </x:c>
      <x:c r="B243" t="str">
        <x:v>sexta-feira</x:v>
      </x:c>
      <x:c r="C243" s="85" t="n">
        <x:v>0.5472222222222223</x:v>
      </x:c>
      <x:c r="D243" s="85" t="n">
        <x:v>0.6729166666666667</x:v>
      </x:c>
      <x:c r="E243" s="85" t="n">
        <x:v>0.7125</x:v>
      </x:c>
      <x:c r="F243" s="85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  <x:c r="S243" t="n">
        <x:v>0</x:v>
      </x:c>
      <x:c r="T243" t="str">
        <x:f>TEXT(INT(S243/60),"00")&amp;":"&amp;TEXT(MOD(S243,60),"00")</x:f>
        <x:v>00:00</x:v>
      </x:c>
      <x:c r="W243" t="n">
        <x:f>IF(S243&gt;0,1,0)</x:f>
        <x:v>0</x:v>
      </x:c>
    </x:row>
    <x:row r="244" ht="21" customHeight="1">
      <x:c r="A244" s="83" t="n">
        <x:v>45997</x:v>
      </x:c>
      <x:c r="B244" t="str">
        <x:v>sábado</x:v>
      </x:c>
      <x:c r="C244" s="85" t="n">
        <x:v>0.5409722222222222</x:v>
      </x:c>
      <x:c r="D244" s="85"/>
      <x:c r="E244" s="85"/>
      <x:c r="F244" s="85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  <x:c r="S244" t="n">
        <x:v>0</x:v>
      </x:c>
      <x:c r="T244" t="str">
        <x:f>TEXT(INT(S244/60),"00")&amp;":"&amp;TEXT(MOD(S244,60),"00")</x:f>
        <x:v>00:00</x:v>
      </x:c>
      <x:c r="W244" t="n">
        <x:f>IF(S244&gt;0,1,0)</x:f>
        <x:v>0</x:v>
      </x:c>
    </x:row>
    <x:row r="245" ht="21" customHeight="1">
      <x:c r="A245" s="83" t="n">
        <x:v>45999</x:v>
      </x:c>
      <x:c r="B245" t="str">
        <x:v>segunda-feira</x:v>
      </x:c>
      <x:c r="C245" s="85" t="n">
        <x:v>0.5395833333333333</x:v>
      </x:c>
      <x:c r="D245" s="85" t="n">
        <x:v>0.6805555555555556</x:v>
      </x:c>
      <x:c r="E245" s="85" t="n">
        <x:v>0.7215277777777778</x:v>
      </x:c>
      <x:c r="F245" s="85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  <x:c r="S245" t="n">
        <x:v>0</x:v>
      </x:c>
      <x:c r="T245" t="str">
        <x:f>TEXT(INT(S245/60),"00")&amp;":"&amp;TEXT(MOD(S245,60),"00")</x:f>
        <x:v>00:00</x:v>
      </x:c>
      <x:c r="W245" t="n">
        <x:f>IF(S245&gt;0,1,0)</x:f>
        <x:v>0</x:v>
      </x:c>
    </x:row>
    <x:row r="246" ht="21" customHeight="1">
      <x:c r="A246" s="83" t="n">
        <x:v>46000</x:v>
      </x:c>
      <x:c r="B246" t="str">
        <x:v>terça-feira</x:v>
      </x:c>
      <x:c r="C246" s="85" t="n">
        <x:v>0.5395833333333333</x:v>
      </x:c>
      <x:c r="D246" s="85" t="n">
        <x:v>0.6798611111111111</x:v>
      </x:c>
      <x:c r="E246" s="85" t="n">
        <x:v>0.7215277777777778</x:v>
      </x:c>
      <x:c r="F246" s="85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  <x:c r="S246" t="n">
        <x:v>0</x:v>
      </x:c>
      <x:c r="T246" t="str">
        <x:f>TEXT(INT(S246/60),"00")&amp;":"&amp;TEXT(MOD(S246,60),"00")</x:f>
        <x:v>00:00</x:v>
      </x:c>
      <x:c r="W246" t="n">
        <x:f>IF(S246&gt;0,1,0)</x:f>
        <x:v>0</x:v>
      </x:c>
    </x:row>
    <x:row r="247" ht="21" customHeight="1">
      <x:c r="A247" s="83" t="n">
        <x:v>46001</x:v>
      </x:c>
      <x:c r="B247" t="str">
        <x:v>quarta-feira</x:v>
      </x:c>
      <x:c r="C247" s="85" t="n">
        <x:v>0.5423611111111111</x:v>
      </x:c>
      <x:c r="D247" s="85" t="n">
        <x:v>0.6666666666666666</x:v>
      </x:c>
      <x:c r="E247" s="85" t="n">
        <x:v>0.7090277777777778</x:v>
      </x:c>
      <x:c r="F247" s="85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  <x:c r="S247" t="n">
        <x:v>0</x:v>
      </x:c>
      <x:c r="T247" t="str">
        <x:f>TEXT(INT(S247/60),"00")&amp;":"&amp;TEXT(MOD(S247,60),"00")</x:f>
        <x:v>00:00</x:v>
      </x:c>
      <x:c r="W247" t="n">
        <x:f>IF(S247&gt;0,1,0)</x:f>
        <x:v>0</x:v>
      </x:c>
    </x:row>
    <x:row r="248" ht="21" customHeight="1">
      <x:c r="A248" s="83" t="n">
        <x:v>46002</x:v>
      </x:c>
      <x:c r="B248" t="str">
        <x:v>quinta-feira</x:v>
      </x:c>
      <x:c r="C248" s="85" t="n">
        <x:v>0.5472222222222223</x:v>
      </x:c>
      <x:c r="D248" s="85" t="n">
        <x:v>0.6736111111111112</x:v>
      </x:c>
      <x:c r="E248" s="85" t="n">
        <x:v>0.7125</x:v>
      </x:c>
      <x:c r="F248" s="85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  <x:c r="S248" t="n">
        <x:v>0</x:v>
      </x:c>
      <x:c r="T248" t="str">
        <x:f>TEXT(INT(S248/60),"00")&amp;":"&amp;TEXT(MOD(S248,60),"00")</x:f>
        <x:v>00:00</x:v>
      </x:c>
      <x:c r="W248" t="n">
        <x:f>IF(S248&gt;0,1,0)</x:f>
        <x:v>0</x:v>
      </x:c>
    </x:row>
    <x:row r="249" ht="21" customHeight="1">
      <x:c r="A249" s="83" t="n">
        <x:v>46003</x:v>
      </x:c>
      <x:c r="B249" t="str">
        <x:v>sexta-feira</x:v>
      </x:c>
      <x:c r="C249" s="85" t="n">
        <x:v>0.5409722222222222</x:v>
      </x:c>
      <x:c r="D249" s="85" t="n">
        <x:v>0.6715277777777777</x:v>
      </x:c>
      <x:c r="E249" s="85" t="n">
        <x:v>0.7131944444444445</x:v>
      </x:c>
      <x:c r="F249" s="85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  <x:c r="S249" t="n">
        <x:v>0</x:v>
      </x:c>
      <x:c r="T249" t="str">
        <x:f>TEXT(INT(S249/60),"00")&amp;":"&amp;TEXT(MOD(S249,60),"00")</x:f>
        <x:v>00:00</x:v>
      </x:c>
      <x:c r="W249" t="n">
        <x:f>IF(S249&gt;0,1,0)</x:f>
        <x:v>0</x:v>
      </x:c>
    </x:row>
    <x:row r="250" ht="21" customHeight="1">
      <x:c r="A250" s="83" t="n">
        <x:v>46004</x:v>
      </x:c>
      <x:c r="B250" t="str">
        <x:v>sábado</x:v>
      </x:c>
      <x:c r="C250" s="85" t="n">
        <x:v>0.5430555555555555</x:v>
      </x:c>
      <x:c r="D250" s="85"/>
      <x:c r="E250" s="85"/>
      <x:c r="F250" s="85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  <x:c r="S250" t="n">
        <x:v>0</x:v>
      </x:c>
      <x:c r="T250" t="str">
        <x:f>TEXT(INT(S250/60),"00")&amp;":"&amp;TEXT(MOD(S250,60),"00")</x:f>
        <x:v>00:00</x:v>
      </x:c>
      <x:c r="W250" t="n">
        <x:f>IF(S250&gt;0,1,0)</x:f>
        <x:v>0</x:v>
      </x:c>
    </x:row>
    <x:row r="251" ht="21" customHeight="1">
      <x:c r="A251" s="83" t="n">
        <x:v>46006</x:v>
      </x:c>
      <x:c r="B251" t="str">
        <x:v>segunda-feira</x:v>
      </x:c>
      <x:c r="C251" s="85" t="n">
        <x:v>0.5395833333333333</x:v>
      </x:c>
      <x:c r="D251" s="85" t="n">
        <x:v>0.6798611111111111</x:v>
      </x:c>
      <x:c r="E251" s="85" t="n">
        <x:v>0.7201388888888889</x:v>
      </x:c>
      <x:c r="F251" s="85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  <x:c r="S251" t="n">
        <x:v>0</x:v>
      </x:c>
      <x:c r="T251" t="str">
        <x:f>TEXT(INT(S251/60),"00")&amp;":"&amp;TEXT(MOD(S251,60),"00")</x:f>
        <x:v>00:00</x:v>
      </x:c>
      <x:c r="W251" t="n">
        <x:f>IF(S251&gt;0,1,0)</x:f>
        <x:v>0</x:v>
      </x:c>
    </x:row>
    <x:row r="252" ht="21" customHeight="1">
      <x:c r="A252" s="83" t="n">
        <x:v>46007</x:v>
      </x:c>
      <x:c r="B252" t="str">
        <x:v>terça-feira</x:v>
      </x:c>
      <x:c r="C252" s="85" t="n">
        <x:v>0.5458333333333333</x:v>
      </x:c>
      <x:c r="D252" s="85" t="n">
        <x:v>0.6701388888888888</x:v>
      </x:c>
      <x:c r="E252" s="85" t="n">
        <x:v>0.7104166666666667</x:v>
      </x:c>
      <x:c r="F252" s="85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  <x:c r="S252" t="n">
        <x:v>0</x:v>
      </x:c>
      <x:c r="T252" t="str">
        <x:f>TEXT(INT(S252/60),"00")&amp;":"&amp;TEXT(MOD(S252,60),"00")</x:f>
        <x:v>00:00</x:v>
      </x:c>
      <x:c r="W252" t="n">
        <x:f>IF(S252&gt;0,1,0)</x:f>
        <x:v>0</x:v>
      </x:c>
    </x:row>
    <x:row r="253" ht="21" customHeight="1">
      <x:c r="A253" s="83" t="n">
        <x:v>46008</x:v>
      </x:c>
      <x:c r="B253" t="str">
        <x:v>quarta-feira</x:v>
      </x:c>
      <x:c r="C253" s="85" t="n">
        <x:v>0.5430555555555555</x:v>
      </x:c>
      <x:c r="D253" s="85" t="n">
        <x:v>0.6756944444444445</x:v>
      </x:c>
      <x:c r="E253" s="85" t="n">
        <x:v>0.7145833333333333</x:v>
      </x:c>
      <x:c r="F253" s="85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  <x:c r="S253" t="n">
        <x:v>0</x:v>
      </x:c>
      <x:c r="T253" t="str">
        <x:f>TEXT(INT(S253/60),"00")&amp;":"&amp;TEXT(MOD(S253,60),"00")</x:f>
        <x:v>00:00</x:v>
      </x:c>
      <x:c r="W253" t="n">
        <x:f>IF(S253&gt;0,1,0)</x:f>
        <x:v>0</x:v>
      </x:c>
    </x:row>
    <x:row r="254" ht="21" customHeight="1">
      <x:c r="A254" s="83" t="n">
        <x:v>46009</x:v>
      </x:c>
      <x:c r="B254" t="str">
        <x:v>quinta-feira</x:v>
      </x:c>
      <x:c r="C254" s="85" t="n">
        <x:v>0.5430555555555555</x:v>
      </x:c>
      <x:c r="D254" s="85" t="n">
        <x:v>0.6784722222222223</x:v>
      </x:c>
      <x:c r="E254" s="85" t="n">
        <x:v>0.7215277777777778</x:v>
      </x:c>
      <x:c r="F254" s="85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  <x:c r="S254" t="n">
        <x:v>0</x:v>
      </x:c>
      <x:c r="T254" t="str">
        <x:f>TEXT(INT(S254/60),"00")&amp;":"&amp;TEXT(MOD(S254,60),"00")</x:f>
        <x:v>00:00</x:v>
      </x:c>
      <x:c r="W254" t="n">
        <x:f>IF(S254&gt;0,1,0)</x:f>
        <x:v>0</x:v>
      </x:c>
    </x:row>
    <x:row r="255" ht="21" customHeight="1">
      <x:c r="A255" s="83" t="n">
        <x:v>46010</x:v>
      </x:c>
      <x:c r="B255" t="str">
        <x:v>sexta-feira</x:v>
      </x:c>
      <x:c r="C255" s="85" t="n">
        <x:v>0.5416666666666666</x:v>
      </x:c>
      <x:c r="D255" s="85" t="n">
        <x:v>0.6805555555555556</x:v>
      </x:c>
      <x:c r="E255" s="85" t="n">
        <x:v>0.7222222222222222</x:v>
      </x:c>
      <x:c r="F255" s="85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  <x:c r="S255" t="n">
        <x:v>0</x:v>
      </x:c>
      <x:c r="T255" t="str">
        <x:f>TEXT(INT(S255/60),"00")&amp;":"&amp;TEXT(MOD(S255,60),"00")</x:f>
        <x:v>00:00</x:v>
      </x:c>
      <x:c r="W255" t="n">
        <x:f>IF(S255&gt;0,1,0)</x:f>
        <x:v>0</x:v>
      </x:c>
    </x:row>
    <x:row r="256" ht="21" customHeight="1">
      <x:c r="A256" s="83" t="n">
        <x:v>46011</x:v>
      </x:c>
      <x:c r="B256" t="str">
        <x:v>sábado</x:v>
      </x:c>
      <x:c r="C256" s="85" t="n">
        <x:v>0.5395833333333333</x:v>
      </x:c>
      <x:c r="D256" s="85"/>
      <x:c r="E256" s="85"/>
      <x:c r="F256" s="85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  <x:c r="S256" t="n">
        <x:v>0</x:v>
      </x:c>
      <x:c r="T256" t="str">
        <x:f>TEXT(INT(S256/60),"00")&amp;":"&amp;TEXT(MOD(S256,60),"00")</x:f>
        <x:v>00:00</x:v>
      </x:c>
      <x:c r="W256" t="n">
        <x:f>IF(S256&gt;0,1,0)</x:f>
        <x:v>0</x:v>
      </x:c>
    </x:row>
    <x:row r="257" ht="21" customHeight="1">
      <x:c r="A257" s="83" t="n">
        <x:v>46013</x:v>
      </x:c>
      <x:c r="B257" t="str">
        <x:v>segunda-feira</x:v>
      </x:c>
      <x:c r="C257" s="85" t="n">
        <x:v>0.5472222222222223</x:v>
      </x:c>
      <x:c r="D257" s="85" t="n">
        <x:v>0.6673611111111111</x:v>
      </x:c>
      <x:c r="E257" s="85" t="n">
        <x:v>0.70625</x:v>
      </x:c>
      <x:c r="F257" s="85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  <x:c r="S257" t="n">
        <x:v>0</x:v>
      </x:c>
      <x:c r="T257" t="str">
        <x:f>TEXT(INT(S257/60),"00")&amp;":"&amp;TEXT(MOD(S257,60),"00")</x:f>
        <x:v>00:00</x:v>
      </x:c>
      <x:c r="W257" t="n">
        <x:f>IF(S257&gt;0,1,0)</x:f>
        <x:v>0</x:v>
      </x:c>
    </x:row>
    <x:row r="258" ht="21" customHeight="1">
      <x:c r="A258" s="83" t="n">
        <x:v>46014</x:v>
      </x:c>
      <x:c r="B258" t="str">
        <x:v>terça-feira</x:v>
      </x:c>
      <x:c r="C258" s="85" t="n">
        <x:v>0.5388888888888889</x:v>
      </x:c>
      <x:c r="D258" s="85" t="n">
        <x:v>0.6791666666666667</x:v>
      </x:c>
      <x:c r="E258" s="85" t="n">
        <x:v>0.7222222222222222</x:v>
      </x:c>
      <x:c r="F258" s="85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  <x:c r="S258" t="n">
        <x:v>0</x:v>
      </x:c>
      <x:c r="T258" t="str">
        <x:f>TEXT(INT(S258/60),"00")&amp;":"&amp;TEXT(MOD(S258,60),"00")</x:f>
        <x:v>00:00</x:v>
      </x:c>
      <x:c r="W258" t="n">
        <x:f>IF(S258&gt;0,1,0)</x:f>
        <x:v>0</x:v>
      </x:c>
    </x:row>
    <x:row r="259" ht="21" customHeight="1">
      <x:c r="A259" s="83" t="n">
        <x:v>46015</x:v>
      </x:c>
      <x:c r="B259" t="str">
        <x:v>quarta-feira</x:v>
      </x:c>
      <x:c r="C259" s="85" t="n">
        <x:v>0.5388888888888889</x:v>
      </x:c>
      <x:c r="D259" s="85" t="n">
        <x:v>0.6659722222222222</x:v>
      </x:c>
      <x:c r="E259" s="85" t="n">
        <x:v>0.7048611111111112</x:v>
      </x:c>
      <x:c r="F259" s="85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  <x:c r="S259" t="n">
        <x:v>0</x:v>
      </x:c>
      <x:c r="T259" t="str">
        <x:f>TEXT(INT(S259/60),"00")&amp;":"&amp;TEXT(MOD(S259,60),"00")</x:f>
        <x:v>00:00</x:v>
      </x:c>
      <x:c r="W259" t="n">
        <x:f>IF(S259&gt;0,1,0)</x:f>
        <x:v>0</x:v>
      </x:c>
    </x:row>
    <x:row r="260" ht="21" customHeight="1">
      <x:c r="A260" s="83" t="n">
        <x:v>46016</x:v>
      </x:c>
      <x:c r="B260" t="str">
        <x:v>quinta-feira</x:v>
      </x:c>
      <x:c r="C260" s="85" t="n">
        <x:v>0.5409722222222222</x:v>
      </x:c>
      <x:c r="D260" s="85" t="n">
        <x:v>0.6777777777777778</x:v>
      </x:c>
      <x:c r="E260" s="85" t="n">
        <x:v>0.7201388888888889</x:v>
      </x:c>
      <x:c r="F260" s="85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  <x:c r="S260" t="n">
        <x:v>0</x:v>
      </x:c>
      <x:c r="T260" t="str">
        <x:f>TEXT(INT(S260/60),"00")&amp;":"&amp;TEXT(MOD(S260,60),"00")</x:f>
        <x:v>00:00</x:v>
      </x:c>
      <x:c r="W260" t="n">
        <x:f>IF(S260&gt;0,1,0)</x:f>
        <x:v>0</x:v>
      </x:c>
    </x:row>
    <x:row r="261" ht="21" customHeight="1">
      <x:c r="A261" s="83" t="n">
        <x:v>46017</x:v>
      </x:c>
      <x:c r="B261" t="str">
        <x:v>sexta-feira</x:v>
      </x:c>
      <x:c r="C261" s="85" t="n">
        <x:v>0.5395833333333333</x:v>
      </x:c>
      <x:c r="D261" s="85" t="n">
        <x:v>0.6680555555555555</x:v>
      </x:c>
      <x:c r="E261" s="85" t="n">
        <x:v>0.7111111111111111</x:v>
      </x:c>
      <x:c r="F261" s="85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  <x:c r="S261" t="n">
        <x:v>0</x:v>
      </x:c>
      <x:c r="T261" t="str">
        <x:f>TEXT(INT(S261/60),"00")&amp;":"&amp;TEXT(MOD(S261,60),"00")</x:f>
        <x:v>00:00</x:v>
      </x:c>
      <x:c r="W261" t="n">
        <x:f>IF(S261&gt;0,1,0)</x:f>
        <x:v>0</x:v>
      </x:c>
    </x:row>
    <x:row r="262" ht="21" customHeight="1">
      <x:c r="A262" s="83" t="n">
        <x:v>46018</x:v>
      </x:c>
      <x:c r="B262" t="str">
        <x:v>sábado</x:v>
      </x:c>
      <x:c r="C262" s="85" t="n">
        <x:v>0.5416666666666666</x:v>
      </x:c>
      <x:c r="D262" s="85" t="n">
        <x:v>0.65625</x:v>
      </x:c>
      <x:c r="E262" s="85" t="n">
        <x:v>0.6666666666666666</x:v>
      </x:c>
      <x:c r="F262" s="85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  <x:c r="S262" t="n">
        <x:v>0</x:v>
      </x:c>
      <x:c r="T262" t="str">
        <x:f>TEXT(INT(S262/60),"00")&amp;":"&amp;TEXT(MOD(S262,60),"00")</x:f>
        <x:v>00:00</x:v>
      </x:c>
      <x:c r="W262" t="n">
        <x:f>IF(S262&gt;0,1,0)</x:f>
        <x:v>0</x:v>
      </x:c>
    </x:row>
    <x:row r="263" ht="21" customHeight="1">
      <x:c r="A263" s="83" t="n">
        <x:v>46020</x:v>
      </x:c>
      <x:c r="B263" t="str">
        <x:v>segunda-feira</x:v>
      </x:c>
      <x:c r="C263" s="85" t="n">
        <x:v>0.5458333333333333</x:v>
      </x:c>
      <x:c r="D263" s="85" t="n">
        <x:v>0.6680555555555555</x:v>
      </x:c>
      <x:c r="E263" s="85" t="n">
        <x:v>0.7111111111111111</x:v>
      </x:c>
      <x:c r="F263" s="85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  <x:c r="S263" t="n">
        <x:v>0</x:v>
      </x:c>
      <x:c r="T263" t="str">
        <x:f>TEXT(INT(S263/60),"00")&amp;":"&amp;TEXT(MOD(S263,60),"00")</x:f>
        <x:v>00:00</x:v>
      </x:c>
      <x:c r="W263" t="n">
        <x:f>IF(S263&gt;0,1,0)</x:f>
        <x:v>0</x:v>
      </x:c>
    </x:row>
    <x:row r="264" ht="21" customHeight="1">
      <x:c r="A264" s="83" t="n">
        <x:v>46021</x:v>
      </x:c>
      <x:c r="B264" t="str">
        <x:v>terça-feira</x:v>
      </x:c>
      <x:c r="C264" s="85" t="n">
        <x:v>0.5402777777777777</x:v>
      </x:c>
      <x:c r="D264" s="85" t="n">
        <x:v>0.6791666666666667</x:v>
      </x:c>
      <x:c r="E264" s="85" t="n">
        <x:v>0.7236111111111111</x:v>
      </x:c>
      <x:c r="F264" s="85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  <x:c r="S264" t="n">
        <x:v>0</x:v>
      </x:c>
      <x:c r="T264" t="str">
        <x:f>TEXT(INT(S264/60),"00")&amp;":"&amp;TEXT(MOD(S264,60),"00")</x:f>
        <x:v>00:00</x:v>
      </x:c>
      <x:c r="W264" t="n">
        <x:f>IF(S264&gt;0,1,0)</x:f>
        <x:v>0</x:v>
      </x:c>
    </x:row>
    <x:row r="265" ht="21" customHeight="1">
      <x:c r="A265" s="83" t="n">
        <x:v>46022</x:v>
      </x:c>
      <x:c r="B265" t="str">
        <x:v>quarta-feira</x:v>
      </x:c>
      <x:c r="C265" s="85" t="n">
        <x:v>0.5388888888888889</x:v>
      </x:c>
      <x:c r="D265" s="85" t="n">
        <x:v>0.6673611111111111</x:v>
      </x:c>
      <x:c r="E265" s="85" t="n">
        <x:v>0.7076388888888889</x:v>
      </x:c>
      <x:c r="F265" s="85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  <x:c r="S265" t="n">
        <x:v>0</x:v>
      </x:c>
      <x:c r="T265" t="str">
        <x:f>TEXT(INT(S265/60),"00")&amp;":"&amp;TEXT(MOD(S265,60),"00")</x:f>
        <x:v>00:00</x:v>
      </x:c>
      <x:c r="W265" t="n">
        <x:f>IF(S265&gt;0,1,0)</x:f>
        <x:v>0</x:v>
      </x:c>
    </x:row>
    <x:row r="266" ht="21" customHeight="1">
      <x:c r="A266" s="83" t="n">
        <x:v>46023</x:v>
      </x:c>
      <x:c r="B266" t="str">
        <x:v>quinta-feira</x:v>
      </x:c>
      <x:c r="C266" s="85" t="n">
        <x:v>0.5451388888888888</x:v>
      </x:c>
      <x:c r="D266" s="85" t="n">
        <x:v>0.6701388888888888</x:v>
      </x:c>
      <x:c r="E266" s="85" t="n">
        <x:v>0.7111111111111111</x:v>
      </x:c>
      <x:c r="F266" s="85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  <x:c r="S266" t="n">
        <x:v>0</x:v>
      </x:c>
      <x:c r="T266" t="str">
        <x:f>TEXT(INT(S266/60),"00")&amp;":"&amp;TEXT(MOD(S266,60),"00")</x:f>
        <x:v>00:00</x:v>
      </x:c>
      <x:c r="W266" t="n">
        <x:f>IF(S266&gt;0,1,0)</x:f>
        <x:v>0</x:v>
      </x:c>
    </x:row>
    <x:row r="267" ht="21" customHeight="1">
      <x:c r="A267" s="83" t="n">
        <x:v>46024</x:v>
      </x:c>
      <x:c r="B267" t="str">
        <x:v>sexta-feira</x:v>
      </x:c>
      <x:c r="C267" s="85" t="n">
        <x:v>0.5451388888888888</x:v>
      </x:c>
      <x:c r="D267" s="85" t="n">
        <x:v>0.6729166666666667</x:v>
      </x:c>
      <x:c r="E267" s="85" t="n">
        <x:v>0.7152777777777778</x:v>
      </x:c>
      <x:c r="F267" s="85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  <x:c r="S267" t="n">
        <x:v>0</x:v>
      </x:c>
      <x:c r="T267" t="str">
        <x:f>TEXT(INT(S267/60),"00")&amp;":"&amp;TEXT(MOD(S267,60),"00")</x:f>
        <x:v>00:00</x:v>
      </x:c>
      <x:c r="W267" t="n">
        <x:f>IF(S267&gt;0,1,0)</x:f>
        <x:v>0</x:v>
      </x:c>
    </x:row>
    <x:row r="268" ht="21" customHeight="1">
      <x:c r="A268" s="83" t="n">
        <x:v>46025</x:v>
      </x:c>
      <x:c r="B268" t="str">
        <x:v>sábado</x:v>
      </x:c>
      <x:c r="C268" s="85" t="n">
        <x:v>0.5444444444444444</x:v>
      </x:c>
      <x:c r="D268" s="85"/>
      <x:c r="E268" s="85"/>
      <x:c r="F268" s="85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  <x:c r="S268" t="n">
        <x:v>0</x:v>
      </x:c>
      <x:c r="T268" t="str">
        <x:f>TEXT(INT(S268/60),"00")&amp;":"&amp;TEXT(MOD(S268,60),"00")</x:f>
        <x:v>00:00</x:v>
      </x:c>
      <x:c r="W268" t="n">
        <x:f>IF(S268&gt;0,1,0)</x:f>
        <x:v>0</x:v>
      </x:c>
    </x:row>
    <x:row r="269" ht="21" customHeight="1">
      <x:c r="A269" s="83" t="n">
        <x:v>46027</x:v>
      </x:c>
      <x:c r="B269" t="str">
        <x:v>segunda-feira</x:v>
      </x:c>
      <x:c r="C269" s="85" t="n">
        <x:v>0.5388888888888889</x:v>
      </x:c>
      <x:c r="D269" s="85" t="n">
        <x:v>0.6736111111111112</x:v>
      </x:c>
      <x:c r="E269" s="85" t="n">
        <x:v>0.7138888888888889</x:v>
      </x:c>
      <x:c r="F269" s="85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  <x:c r="S269" t="n">
        <x:v>0</x:v>
      </x:c>
      <x:c r="T269" t="str">
        <x:f>TEXT(INT(S269/60),"00")&amp;":"&amp;TEXT(MOD(S269,60),"00")</x:f>
        <x:v>00:00</x:v>
      </x:c>
      <x:c r="W269" t="n">
        <x:f>IF(S269&gt;0,1,0)</x:f>
        <x:v>0</x:v>
      </x:c>
    </x:row>
    <x:row r="270" ht="21" customHeight="1">
      <x:c r="A270" s="83" t="n">
        <x:v>46028</x:v>
      </x:c>
      <x:c r="B270" t="str">
        <x:v>terça-feira</x:v>
      </x:c>
      <x:c r="C270" s="85" t="n">
        <x:v>0.5395833333333333</x:v>
      </x:c>
      <x:c r="D270" s="85" t="n">
        <x:v>0.6680555555555555</x:v>
      </x:c>
      <x:c r="E270" s="85" t="n">
        <x:v>0.7118055555555556</x:v>
      </x:c>
      <x:c r="F270" s="85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  <x:c r="S270" t="n">
        <x:v>0</x:v>
      </x:c>
      <x:c r="T270" t="str">
        <x:f>TEXT(INT(S270/60),"00")&amp;":"&amp;TEXT(MOD(S270,60),"00")</x:f>
        <x:v>00:00</x:v>
      </x:c>
      <x:c r="W270" t="n">
        <x:f>IF(S270&gt;0,1,0)</x:f>
        <x:v>0</x:v>
      </x:c>
    </x:row>
    <x:row r="271" ht="21" customHeight="1">
      <x:c r="A271" s="83" t="n">
        <x:v>46029</x:v>
      </x:c>
      <x:c r="B271" t="str">
        <x:v>quarta-feira</x:v>
      </x:c>
      <x:c r="C271" s="85" t="n">
        <x:v>0.5458333333333333</x:v>
      </x:c>
      <x:c r="D271" s="85" t="n">
        <x:v>0.6805555555555556</x:v>
      </x:c>
      <x:c r="E271" s="85" t="n">
        <x:v>0.7201388888888889</x:v>
      </x:c>
      <x:c r="F271" s="85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  <x:c r="S271" t="n">
        <x:v>0</x:v>
      </x:c>
      <x:c r="T271" t="str">
        <x:f>TEXT(INT(S271/60),"00")&amp;":"&amp;TEXT(MOD(S271,60),"00")</x:f>
        <x:v>00:00</x:v>
      </x:c>
      <x:c r="W271" t="n">
        <x:f>IF(S271&gt;0,1,0)</x:f>
        <x:v>0</x:v>
      </x:c>
    </x:row>
    <x:row r="272" ht="21" customHeight="1">
      <x:c r="A272" s="83" t="n">
        <x:v>46030</x:v>
      </x:c>
      <x:c r="B272" t="str">
        <x:v>quinta-feira</x:v>
      </x:c>
      <x:c r="C272" s="85" t="n">
        <x:v>0.5451388888888888</x:v>
      </x:c>
      <x:c r="D272" s="85" t="n">
        <x:v>0.6763888888888889</x:v>
      </x:c>
      <x:c r="E272" s="85" t="n">
        <x:v>0.7152777777777778</x:v>
      </x:c>
      <x:c r="F272" s="85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  <x:c r="S272" t="n">
        <x:v>0</x:v>
      </x:c>
      <x:c r="T272" t="str">
        <x:f>TEXT(INT(S272/60),"00")&amp;":"&amp;TEXT(MOD(S272,60),"00")</x:f>
        <x:v>00:00</x:v>
      </x:c>
      <x:c r="W272" t="n">
        <x:f>IF(S272&gt;0,1,0)</x:f>
        <x:v>0</x:v>
      </x:c>
    </x:row>
    <x:row r="273" ht="21" customHeight="1">
      <x:c r="A273" s="83" t="n">
        <x:v>46031</x:v>
      </x:c>
      <x:c r="B273" t="str">
        <x:v>sexta-feira</x:v>
      </x:c>
      <x:c r="C273" s="85" t="n">
        <x:v>0.5430555555555555</x:v>
      </x:c>
      <x:c r="D273" s="85" t="n">
        <x:v>0.6743055555555556</x:v>
      </x:c>
      <x:c r="E273" s="85" t="n">
        <x:v>0.7138888888888889</x:v>
      </x:c>
      <x:c r="F273" s="85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  <x:c r="S273" t="n">
        <x:v>0</x:v>
      </x:c>
      <x:c r="T273" t="str">
        <x:f>TEXT(INT(S273/60),"00")&amp;":"&amp;TEXT(MOD(S273,60),"00")</x:f>
        <x:v>00:00</x:v>
      </x:c>
      <x:c r="W273" t="n">
        <x:f>IF(S273&gt;0,1,0)</x:f>
        <x:v>0</x:v>
      </x:c>
    </x:row>
    <x:row r="274" ht="21" customHeight="1">
      <x:c r="A274" s="83" t="n">
        <x:v>46032</x:v>
      </x:c>
      <x:c r="B274" t="str">
        <x:v>sábado</x:v>
      </x:c>
      <x:c r="C274" s="85" t="n">
        <x:v>0.5423611111111111</x:v>
      </x:c>
      <x:c r="D274" s="85" t="n">
        <x:v>0.6597222222222222</x:v>
      </x:c>
      <x:c r="E274" s="85" t="n">
        <x:v>0.6701388888888888</x:v>
      </x:c>
      <x:c r="F274" s="85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  <x:c r="S274" t="n">
        <x:v>0</x:v>
      </x:c>
      <x:c r="T274" t="str">
        <x:f>TEXT(INT(S274/60),"00")&amp;":"&amp;TEXT(MOD(S274,60),"00")</x:f>
        <x:v>00:00</x:v>
      </x:c>
      <x:c r="W274" t="n">
        <x:f>IF(S274&gt;0,1,0)</x:f>
        <x:v>0</x:v>
      </x:c>
    </x:row>
    <x:row r="275" ht="21" customHeight="1">
      <x:c r="A275" s="83" t="n">
        <x:v>46034</x:v>
      </x:c>
      <x:c r="B275" t="str">
        <x:v>segunda-feira</x:v>
      </x:c>
      <x:c r="C275" s="85" t="n">
        <x:v>0.5423611111111111</x:v>
      </x:c>
      <x:c r="D275" s="85" t="n">
        <x:v>0.6701388888888888</x:v>
      </x:c>
      <x:c r="E275" s="85" t="n">
        <x:v>0.7090277777777778</x:v>
      </x:c>
      <x:c r="F275" s="85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  <x:c r="S275" t="n">
        <x:v>0</x:v>
      </x:c>
      <x:c r="T275" t="str">
        <x:f>TEXT(INT(S275/60),"00")&amp;":"&amp;TEXT(MOD(S275,60),"00")</x:f>
        <x:v>00:00</x:v>
      </x:c>
      <x:c r="W275" t="n">
        <x:f>IF(S275&gt;0,1,0)</x:f>
        <x:v>0</x:v>
      </x:c>
    </x:row>
    <x:row r="276" ht="21" customHeight="1">
      <x:c r="A276" s="83" t="n">
        <x:v>46035</x:v>
      </x:c>
      <x:c r="B276" t="str">
        <x:v>terça-feira</x:v>
      </x:c>
      <x:c r="C276" s="85" t="n">
        <x:v>0.5458333333333333</x:v>
      </x:c>
      <x:c r="D276" s="85" t="n">
        <x:v>0.6659722222222222</x:v>
      </x:c>
      <x:c r="E276" s="85" t="n">
        <x:v>0.7076388888888889</x:v>
      </x:c>
      <x:c r="F276" s="85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  <x:c r="S276" t="n">
        <x:v>0</x:v>
      </x:c>
      <x:c r="T276" t="str">
        <x:f>TEXT(INT(S276/60),"00")&amp;":"&amp;TEXT(MOD(S276,60),"00")</x:f>
        <x:v>00:00</x:v>
      </x:c>
      <x:c r="W276" t="n">
        <x:f>IF(S276&gt;0,1,0)</x:f>
        <x:v>0</x:v>
      </x:c>
    </x:row>
    <x:row r="277" ht="21" customHeight="1">
      <x:c r="A277" s="83" t="n">
        <x:v>46036</x:v>
      </x:c>
      <x:c r="B277" t="str">
        <x:v>quarta-feira</x:v>
      </x:c>
      <x:c r="C277" s="85" t="n">
        <x:v>0.5381944444444444</x:v>
      </x:c>
      <x:c r="D277" s="85" t="n">
        <x:v>0.66875</x:v>
      </x:c>
      <x:c r="E277" s="85" t="n">
        <x:v>0.7111111111111111</x:v>
      </x:c>
      <x:c r="F277" s="85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  <x:c r="S277" t="n">
        <x:v>0</x:v>
      </x:c>
      <x:c r="T277" t="str">
        <x:f>TEXT(INT(S277/60),"00")&amp;":"&amp;TEXT(MOD(S277,60),"00")</x:f>
        <x:v>00:00</x:v>
      </x:c>
      <x:c r="W277" t="n">
        <x:f>IF(S277&gt;0,1,0)</x:f>
        <x:v>0</x:v>
      </x:c>
    </x:row>
    <x:row r="278" ht="21" customHeight="1">
      <x:c r="A278" s="83" t="n">
        <x:v>46037</x:v>
      </x:c>
      <x:c r="B278" t="str">
        <x:v>quinta-feira</x:v>
      </x:c>
      <x:c r="C278" s="85" t="n">
        <x:v>0.5375</x:v>
      </x:c>
      <x:c r="D278" s="85" t="n">
        <x:v>0.6680555555555555</x:v>
      </x:c>
      <x:c r="E278" s="85" t="n">
        <x:v>0.7118055555555556</x:v>
      </x:c>
      <x:c r="F278" s="85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  <x:c r="S278" t="n">
        <x:v>0</x:v>
      </x:c>
      <x:c r="T278" t="str">
        <x:f>TEXT(INT(S278/60),"00")&amp;":"&amp;TEXT(MOD(S278,60),"00")</x:f>
        <x:v>00:00</x:v>
      </x:c>
      <x:c r="W278" t="n">
        <x:f>IF(S278&gt;0,1,0)</x:f>
        <x:v>0</x:v>
      </x:c>
    </x:row>
    <x:row r="279" ht="21" customHeight="1">
      <x:c r="A279" s="83" t="n">
        <x:v>46038</x:v>
      </x:c>
      <x:c r="B279" t="str">
        <x:v>sexta-feira</x:v>
      </x:c>
      <x:c r="C279" s="85" t="n">
        <x:v>0.5375</x:v>
      </x:c>
      <x:c r="D279" s="85" t="n">
        <x:v>0.6791666666666667</x:v>
      </x:c>
      <x:c r="E279" s="85" t="n">
        <x:v>0.7180555555555556</x:v>
      </x:c>
      <x:c r="F279" s="85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  <x:c r="S279" t="n">
        <x:v>0</x:v>
      </x:c>
      <x:c r="T279" t="str">
        <x:f>TEXT(INT(S279/60),"00")&amp;":"&amp;TEXT(MOD(S279,60),"00")</x:f>
        <x:v>00:00</x:v>
      </x:c>
      <x:c r="W279" t="n">
        <x:f>IF(S279&gt;0,1,0)</x:f>
        <x:v>0</x:v>
      </x:c>
    </x:row>
    <x:row r="280" ht="21" customHeight="1">
      <x:c r="A280" s="83" t="n">
        <x:v>46039</x:v>
      </x:c>
      <x:c r="B280" t="str">
        <x:v>sábado</x:v>
      </x:c>
      <x:c r="C280" s="85" t="n">
        <x:v>0.5465277777777777</x:v>
      </x:c>
      <x:c r="D280" s="85"/>
      <x:c r="E280" s="85"/>
      <x:c r="F280" s="85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  <x:c r="S280" t="n">
        <x:v>0</x:v>
      </x:c>
      <x:c r="T280" t="str">
        <x:f>TEXT(INT(S280/60),"00")&amp;":"&amp;TEXT(MOD(S280,60),"00")</x:f>
        <x:v>00:00</x:v>
      </x:c>
      <x:c r="W280" t="n">
        <x:f>IF(S280&gt;0,1,0)</x:f>
        <x:v>0</x:v>
      </x:c>
    </x:row>
    <x:row r="281" ht="21" customHeight="1">
      <x:c r="A281" s="83" t="n">
        <x:v>46041</x:v>
      </x:c>
      <x:c r="B281" t="str">
        <x:v>segunda-feira</x:v>
      </x:c>
      <x:c r="C281" s="85" t="n">
        <x:v>0.5458333333333333</x:v>
      </x:c>
      <x:c r="D281" s="85" t="n">
        <x:v>0.6673611111111111</x:v>
      </x:c>
      <x:c r="E281" s="85" t="n">
        <x:v>0.7097222222222223</x:v>
      </x:c>
      <x:c r="F281" s="85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  <x:c r="S281" t="n">
        <x:v>0</x:v>
      </x:c>
      <x:c r="T281" t="str">
        <x:f>TEXT(INT(S281/60),"00")&amp;":"&amp;TEXT(MOD(S281,60),"00")</x:f>
        <x:v>00:00</x:v>
      </x:c>
      <x:c r="W281" t="n">
        <x:f>IF(S281&gt;0,1,0)</x:f>
        <x:v>0</x:v>
      </x:c>
    </x:row>
    <x:row r="282" ht="21" customHeight="1">
      <x:c r="A282" s="83" t="n">
        <x:v>46042</x:v>
      </x:c>
      <x:c r="B282" t="str">
        <x:v>terça-feira</x:v>
      </x:c>
      <x:c r="C282" s="85" t="n">
        <x:v>0.5444444444444444</x:v>
      </x:c>
      <x:c r="D282" s="85" t="n">
        <x:v>0.6979166666666666</x:v>
      </x:c>
      <x:c r="E282" s="85" t="n">
        <x:v>0.7430555555555556</x:v>
      </x:c>
      <x:c r="F282" s="85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  <x:c r="S282" t="n">
        <x:v>0</x:v>
      </x:c>
      <x:c r="T282" t="str">
        <x:f>TEXT(INT(S282/60),"00")&amp;":"&amp;TEXT(MOD(S282,60),"00")</x:f>
        <x:v>00:00</x:v>
      </x:c>
      <x:c r="W282" t="n">
        <x:f>IF(S282&gt;0,1,0)</x:f>
        <x:v>0</x:v>
      </x:c>
    </x:row>
    <x:row r="283" ht="21" customHeight="1">
      <x:c r="A283" s="83" t="n">
        <x:v>46043</x:v>
      </x:c>
      <x:c r="B283" t="str">
        <x:v>quarta-feira</x:v>
      </x:c>
      <x:c r="C283" s="85" t="n">
        <x:v>0.5375</x:v>
      </x:c>
      <x:c r="D283" s="85" t="n">
        <x:v>0.6715277777777777</x:v>
      </x:c>
      <x:c r="E283" s="85" t="n">
        <x:v>0.7159722222222222</x:v>
      </x:c>
      <x:c r="F283" s="85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  <x:c r="S283" t="n">
        <x:v>0</x:v>
      </x:c>
      <x:c r="T283" t="str">
        <x:f>TEXT(INT(S283/60),"00")&amp;":"&amp;TEXT(MOD(S283,60),"00")</x:f>
        <x:v>00:00</x:v>
      </x:c>
      <x:c r="W283" t="n">
        <x:f>IF(S283&gt;0,1,0)</x:f>
        <x:v>0</x:v>
      </x:c>
    </x:row>
    <x:row r="284" ht="21" customHeight="1">
      <x:c r="A284" s="83" t="n">
        <x:v>46044</x:v>
      </x:c>
      <x:c r="B284" t="str">
        <x:v>quinta-feira</x:v>
      </x:c>
      <x:c r="C284" s="85" t="n">
        <x:v>0.5395833333333333</x:v>
      </x:c>
      <x:c r="D284" s="85" t="n">
        <x:v>0.6694444444444444</x:v>
      </x:c>
      <x:c r="E284" s="85" t="n">
        <x:v>0.7118055555555556</x:v>
      </x:c>
      <x:c r="F284" s="85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  <x:c r="S284" t="n">
        <x:v>0</x:v>
      </x:c>
      <x:c r="T284" t="str">
        <x:f>TEXT(INT(S284/60),"00")&amp;":"&amp;TEXT(MOD(S284,60),"00")</x:f>
        <x:v>00:00</x:v>
      </x:c>
      <x:c r="W284" t="n">
        <x:f>IF(S284&gt;0,1,0)</x:f>
        <x:v>0</x:v>
      </x:c>
    </x:row>
    <x:row r="285" ht="21" customHeight="1">
      <x:c r="A285" s="83" t="n">
        <x:v>46045</x:v>
      </x:c>
      <x:c r="B285" t="str">
        <x:v>sexta-feira</x:v>
      </x:c>
      <x:c r="C285" s="85" t="n">
        <x:v>0.54375</x:v>
      </x:c>
      <x:c r="D285" s="85" t="n">
        <x:v>0.6708333333333333</x:v>
      </x:c>
      <x:c r="E285" s="85" t="n">
        <x:v>0.7111111111111111</x:v>
      </x:c>
      <x:c r="F285" s="85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  <x:c r="S285" t="n">
        <x:v>0</x:v>
      </x:c>
      <x:c r="T285" t="str">
        <x:f>TEXT(INT(S285/60),"00")&amp;":"&amp;TEXT(MOD(S285,60),"00")</x:f>
        <x:v>00:00</x:v>
      </x:c>
      <x:c r="W285" t="n">
        <x:f>IF(S285&gt;0,1,0)</x:f>
        <x:v>0</x:v>
      </x:c>
    </x:row>
    <x:row r="286" ht="21" customHeight="1">
      <x:c r="A286" s="83" t="n">
        <x:v>46046</x:v>
      </x:c>
      <x:c r="B286" t="str">
        <x:v>sábado</x:v>
      </x:c>
      <x:c r="C286" s="85" t="n">
        <x:v>0.5472222222222223</x:v>
      </x:c>
      <x:c r="D286" s="85"/>
      <x:c r="E286" s="85"/>
      <x:c r="F286" s="85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  <x:c r="S286" t="n">
        <x:v>0</x:v>
      </x:c>
      <x:c r="T286" t="str">
        <x:f>TEXT(INT(S286/60),"00")&amp;":"&amp;TEXT(MOD(S286,60),"00")</x:f>
        <x:v>00:00</x:v>
      </x:c>
      <x:c r="W286" t="n">
        <x:f>IF(S286&gt;0,1,0)</x:f>
        <x:v>0</x:v>
      </x:c>
    </x:row>
    <x:row r="287" ht="21" customHeight="1">
      <x:c r="A287" s="83" t="n">
        <x:v>46048</x:v>
      </x:c>
      <x:c r="B287" t="str">
        <x:v>segunda-feira</x:v>
      </x:c>
      <x:c r="C287" s="85" t="n">
        <x:v>0.54375</x:v>
      </x:c>
      <x:c r="D287" s="85" t="n">
        <x:v>0.6791666666666667</x:v>
      </x:c>
      <x:c r="E287" s="85" t="n">
        <x:v>0.7208333333333333</x:v>
      </x:c>
      <x:c r="F287" s="85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  <x:c r="S287" t="n">
        <x:v>0</x:v>
      </x:c>
      <x:c r="T287" t="str">
        <x:f>TEXT(INT(S287/60),"00")&amp;":"&amp;TEXT(MOD(S287,60),"00")</x:f>
        <x:v>00:00</x:v>
      </x:c>
      <x:c r="W287" t="n">
        <x:f>IF(S287&gt;0,1,0)</x:f>
        <x:v>0</x:v>
      </x:c>
    </x:row>
    <x:row r="288" ht="21" customHeight="1">
      <x:c r="A288" s="83" t="n">
        <x:v>46049</x:v>
      </x:c>
      <x:c r="B288" t="str">
        <x:v>terça-feira</x:v>
      </x:c>
      <x:c r="C288" s="85" t="n">
        <x:v>0.5381944444444444</x:v>
      </x:c>
      <x:c r="D288" s="85" t="n">
        <x:v>0.6770833333333334</x:v>
      </x:c>
      <x:c r="E288" s="85" t="n">
        <x:v>0.7180555555555556</x:v>
      </x:c>
      <x:c r="F288" s="85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  <x:c r="S288" t="n">
        <x:v>0</x:v>
      </x:c>
      <x:c r="T288" t="str">
        <x:f>TEXT(INT(S288/60),"00")&amp;":"&amp;TEXT(MOD(S288,60),"00")</x:f>
        <x:v>00:00</x:v>
      </x:c>
      <x:c r="W288" t="n">
        <x:f>IF(S288&gt;0,1,0)</x:f>
        <x:v>0</x:v>
      </x:c>
    </x:row>
    <x:row r="289" ht="21" customHeight="1">
      <x:c r="A289" s="83" t="n">
        <x:v>46050</x:v>
      </x:c>
      <x:c r="B289" t="str">
        <x:v>quarta-feira</x:v>
      </x:c>
      <x:c r="C289" s="85" t="n">
        <x:v>0.5444444444444444</x:v>
      </x:c>
      <x:c r="D289" s="85" t="n">
        <x:v>0.68125</x:v>
      </x:c>
      <x:c r="E289" s="85" t="n">
        <x:v>0.7201388888888889</x:v>
      </x:c>
      <x:c r="F289" s="85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  <x:c r="S289" t="n">
        <x:v>0</x:v>
      </x:c>
      <x:c r="T289" t="str">
        <x:f>TEXT(INT(S289/60),"00")&amp;":"&amp;TEXT(MOD(S289,60),"00")</x:f>
        <x:v>00:00</x:v>
      </x:c>
      <x:c r="W289" t="n">
        <x:f>IF(S289&gt;0,1,0)</x:f>
        <x:v>0</x:v>
      </x:c>
    </x:row>
    <x:row r="290" ht="21" customHeight="1">
      <x:c r="A290" s="83" t="n">
        <x:v>46051</x:v>
      </x:c>
      <x:c r="B290" t="str">
        <x:v>quinta-feira</x:v>
      </x:c>
      <x:c r="C290" s="85" t="n">
        <x:v>0.5416666666666666</x:v>
      </x:c>
      <x:c r="D290" s="85" t="n">
        <x:v>0.6680555555555555</x:v>
      </x:c>
      <x:c r="E290" s="85" t="n">
        <x:v>0.7090277777777778</x:v>
      </x:c>
      <x:c r="F290" s="85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  <x:c r="S290" t="n">
        <x:v>0</x:v>
      </x:c>
      <x:c r="T290" t="str">
        <x:f>TEXT(INT(S290/60),"00")&amp;":"&amp;TEXT(MOD(S290,60),"00")</x:f>
        <x:v>00:00</x:v>
      </x:c>
      <x:c r="W290" t="n">
        <x:f>IF(S290&gt;0,1,0)</x:f>
        <x:v>0</x:v>
      </x:c>
    </x:row>
    <x:row r="291" ht="21" customHeight="1">
      <x:c r="A291" s="83" t="n">
        <x:v>46052</x:v>
      </x:c>
      <x:c r="B291" t="str">
        <x:v>sexta-feira</x:v>
      </x:c>
      <x:c r="C291" s="85" t="n">
        <x:v>0.5451388888888888</x:v>
      </x:c>
      <x:c r="D291" s="85" t="n">
        <x:v>0.6694444444444444</x:v>
      </x:c>
      <x:c r="E291" s="85" t="n">
        <x:v>0.7131944444444445</x:v>
      </x:c>
      <x:c r="F291" s="85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  <x:c r="S291" t="n">
        <x:v>0</x:v>
      </x:c>
      <x:c r="T291" t="str">
        <x:f>TEXT(INT(S291/60),"00")&amp;":"&amp;TEXT(MOD(S291,60),"00")</x:f>
        <x:v>00:00</x:v>
      </x:c>
      <x:c r="W291" t="n">
        <x:f>IF(S291&gt;0,1,0)</x:f>
        <x:v>0</x:v>
      </x:c>
    </x:row>
    <x:row r="292" ht="21" customHeight="1">
      <x:c r="A292" s="83" t="n">
        <x:v>46053</x:v>
      </x:c>
      <x:c r="B292" t="str">
        <x:v>sábado</x:v>
      </x:c>
      <x:c r="C292" s="85" t="n">
        <x:v>0.54375</x:v>
      </x:c>
      <x:c r="D292" s="85"/>
      <x:c r="E292" s="85"/>
      <x:c r="F292" s="85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  <x:c r="S292" t="n">
        <x:v>0</x:v>
      </x:c>
      <x:c r="T292" t="str">
        <x:f>TEXT(INT(S292/60),"00")&amp;":"&amp;TEXT(MOD(S292,60),"00")</x:f>
        <x:v>00:00</x:v>
      </x:c>
      <x:c r="W292" t="n">
        <x:f>IF(S292&gt;0,1,0)</x:f>
        <x:v>0</x:v>
      </x:c>
    </x:row>
    <x:row r="293" ht="21" customHeight="1">
      <x:c r="A293" s="83" t="n">
        <x:v>46055</x:v>
      </x:c>
      <x:c r="B293" t="str">
        <x:v>segunda-feira</x:v>
      </x:c>
      <x:c r="C293" s="85" t="n">
        <x:v>0.5458333333333333</x:v>
      </x:c>
      <x:c r="D293" s="85" t="n">
        <x:v>0.6659722222222222</x:v>
      </x:c>
      <x:c r="E293" s="85" t="n">
        <x:v>0.7104166666666667</x:v>
      </x:c>
      <x:c r="F293" s="85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  <x:c r="S293" t="n">
        <x:v>0</x:v>
      </x:c>
      <x:c r="T293" t="str">
        <x:f>TEXT(INT(S293/60),"00")&amp;":"&amp;TEXT(MOD(S293,60),"00")</x:f>
        <x:v>00:00</x:v>
      </x:c>
      <x:c r="W293" t="n">
        <x:f>IF(S293&gt;0,1,0)</x:f>
        <x:v>0</x:v>
      </x:c>
    </x:row>
    <x:row r="294" ht="21" customHeight="1">
      <x:c r="A294" s="83" t="n">
        <x:v>46056</x:v>
      </x:c>
      <x:c r="B294" t="str">
        <x:v>terça-feira</x:v>
      </x:c>
      <x:c r="C294" s="85" t="n">
        <x:v>0.5423611111111111</x:v>
      </x:c>
      <x:c r="D294" s="85" t="n">
        <x:v>0.6756944444444445</x:v>
      </x:c>
      <x:c r="E294" s="85" t="n">
        <x:v>0.7201388888888889</x:v>
      </x:c>
      <x:c r="F294" s="85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  <x:c r="S294" t="n">
        <x:v>0</x:v>
      </x:c>
      <x:c r="T294" t="str">
        <x:f>TEXT(INT(S294/60),"00")&amp;":"&amp;TEXT(MOD(S294,60),"00")</x:f>
        <x:v>00:00</x:v>
      </x:c>
      <x:c r="W294" t="n">
        <x:f>IF(S294&gt;0,1,0)</x:f>
        <x:v>0</x:v>
      </x:c>
    </x:row>
    <x:row r="295" ht="21" customHeight="1">
      <x:c r="A295" s="83" t="n">
        <x:v>46057</x:v>
      </x:c>
      <x:c r="B295" t="str">
        <x:v>quarta-feira</x:v>
      </x:c>
      <x:c r="C295" s="85" t="n">
        <x:v>0.5402777777777777</x:v>
      </x:c>
      <x:c r="D295" s="85" t="n">
        <x:v>0.6680555555555555</x:v>
      </x:c>
      <x:c r="E295" s="85" t="n">
        <x:v>0.7111111111111111</x:v>
      </x:c>
      <x:c r="F295" s="85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  <x:c r="S295" t="n">
        <x:v>0</x:v>
      </x:c>
      <x:c r="T295" t="str">
        <x:f>TEXT(INT(S295/60),"00")&amp;":"&amp;TEXT(MOD(S295,60),"00")</x:f>
        <x:v>00:00</x:v>
      </x:c>
      <x:c r="W295" t="n">
        <x:f>IF(S295&gt;0,1,0)</x:f>
        <x:v>0</x:v>
      </x:c>
    </x:row>
    <x:row r="296" ht="21" customHeight="1">
      <x:c r="A296" s="83" t="n">
        <x:v>46058</x:v>
      </x:c>
      <x:c r="B296" t="str">
        <x:v>quinta-feira</x:v>
      </x:c>
      <x:c r="C296" s="85" t="n">
        <x:v>0.5444444444444444</x:v>
      </x:c>
      <x:c r="D296" s="85" t="n">
        <x:v>0.6701388888888888</x:v>
      </x:c>
      <x:c r="E296" s="85" t="n">
        <x:v>0.7104166666666667</x:v>
      </x:c>
      <x:c r="F296" s="85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  <x:c r="S296" t="n">
        <x:v>0</x:v>
      </x:c>
      <x:c r="T296" t="str">
        <x:f>TEXT(INT(S296/60),"00")&amp;":"&amp;TEXT(MOD(S296,60),"00")</x:f>
        <x:v>00:00</x:v>
      </x:c>
      <x:c r="W296" t="n">
        <x:f>IF(S296&gt;0,1,0)</x:f>
        <x:v>0</x:v>
      </x:c>
    </x:row>
    <x:row r="297" ht="21" customHeight="1">
      <x:c r="A297" s="83" t="n">
        <x:v>46059</x:v>
      </x:c>
      <x:c r="B297" t="str">
        <x:v>sexta-feira</x:v>
      </x:c>
      <x:c r="C297" s="85" t="n">
        <x:v>0.54375</x:v>
      </x:c>
      <x:c r="D297" s="85" t="n">
        <x:v>0.6680555555555555</x:v>
      </x:c>
      <x:c r="E297" s="85" t="n">
        <x:v>0.7069444444444445</x:v>
      </x:c>
      <x:c r="F297" s="85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  <x:c r="S297" t="n">
        <x:v>0</x:v>
      </x:c>
      <x:c r="T297" t="str">
        <x:f>TEXT(INT(S297/60),"00")&amp;":"&amp;TEXT(MOD(S297,60),"00")</x:f>
        <x:v>00:00</x:v>
      </x:c>
      <x:c r="W297" t="n">
        <x:f>IF(S297&gt;0,1,0)</x:f>
        <x:v>0</x:v>
      </x:c>
    </x:row>
    <x:row r="298" ht="21" customHeight="1">
      <x:c r="A298" s="83" t="n">
        <x:v>46060</x:v>
      </x:c>
      <x:c r="B298" t="str">
        <x:v>sábado</x:v>
      </x:c>
      <x:c r="C298" s="85" t="n">
        <x:v>0.54375</x:v>
      </x:c>
      <x:c r="D298" s="85"/>
      <x:c r="E298" s="85"/>
      <x:c r="F298" s="85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  <x:c r="S298" t="n">
        <x:v>0</x:v>
      </x:c>
      <x:c r="T298" t="str">
        <x:f>TEXT(INT(S298/60),"00")&amp;":"&amp;TEXT(MOD(S298,60),"00")</x:f>
        <x:v>00:00</x:v>
      </x:c>
      <x:c r="W298" t="n">
        <x:f>IF(S298&gt;0,1,0)</x:f>
        <x:v>0</x:v>
      </x:c>
    </x:row>
    <x:row r="299" ht="21" customHeight="1">
      <x:c r="A299" s="83" t="n">
        <x:v>46062</x:v>
      </x:c>
      <x:c r="B299" t="str">
        <x:v>segunda-feira</x:v>
      </x:c>
      <x:c r="C299" s="85" t="n">
        <x:v>0.5395833333333333</x:v>
      </x:c>
      <x:c r="D299" s="85" t="n">
        <x:v>0.6909722222222222</x:v>
      </x:c>
      <x:c r="E299" s="85" t="n">
        <x:v>0.7354166666666667</x:v>
      </x:c>
      <x:c r="F299" s="85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  <x:c r="S299" t="n">
        <x:v>0</x:v>
      </x:c>
      <x:c r="T299" t="str">
        <x:f>TEXT(INT(S299/60),"00")&amp;":"&amp;TEXT(MOD(S299,60),"00")</x:f>
        <x:v>00:00</x:v>
      </x:c>
      <x:c r="W299" t="n">
        <x:f>IF(S299&gt;0,1,0)</x:f>
        <x:v>0</x:v>
      </x:c>
    </x:row>
    <x:row r="300" ht="21" customHeight="1">
      <x:c r="A300" s="83" t="n">
        <x:v>46063</x:v>
      </x:c>
      <x:c r="B300" t="str">
        <x:v>terça-feira</x:v>
      </x:c>
      <x:c r="C300" s="85" t="n">
        <x:v>0.54375</x:v>
      </x:c>
      <x:c r="D300" s="85" t="n">
        <x:v>0.6680555555555555</x:v>
      </x:c>
      <x:c r="E300" s="85" t="n">
        <x:v>0.7083333333333334</x:v>
      </x:c>
      <x:c r="F300" s="85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  <x:c r="S300" t="n">
        <x:v>0</x:v>
      </x:c>
      <x:c r="T300" t="str">
        <x:f>TEXT(INT(S300/60),"00")&amp;":"&amp;TEXT(MOD(S300,60),"00")</x:f>
        <x:v>00:00</x:v>
      </x:c>
      <x:c r="W300" t="n">
        <x:f>IF(S300&gt;0,1,0)</x:f>
        <x:v>0</x:v>
      </x:c>
    </x:row>
    <x:row r="301" ht="21" customHeight="1">
      <x:c r="A301" s="83" t="n">
        <x:v>46064</x:v>
      </x:c>
      <x:c r="B301" t="str">
        <x:v>quarta-feira</x:v>
      </x:c>
      <x:c r="C301" s="85" t="n">
        <x:v>0.54375</x:v>
      </x:c>
      <x:c r="D301" s="85" t="n">
        <x:v>0.6659722222222222</x:v>
      </x:c>
      <x:c r="E301" s="85" t="n">
        <x:v>0.7090277777777778</x:v>
      </x:c>
      <x:c r="F301" s="85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  <x:c r="S301" t="n">
        <x:v>0</x:v>
      </x:c>
      <x:c r="T301" t="str">
        <x:f>TEXT(INT(S301/60),"00")&amp;":"&amp;TEXT(MOD(S301,60),"00")</x:f>
        <x:v>00:00</x:v>
      </x:c>
      <x:c r="W301" t="n">
        <x:f>IF(S301&gt;0,1,0)</x:f>
        <x:v>0</x:v>
      </x:c>
    </x:row>
    <x:row r="302" ht="21" customHeight="1">
      <x:c r="A302" s="83" t="n">
        <x:v>46065</x:v>
      </x:c>
      <x:c r="B302" t="str">
        <x:v>quinta-feira</x:v>
      </x:c>
      <x:c r="C302" s="85" t="n">
        <x:v>0.5409722222222222</x:v>
      </x:c>
      <x:c r="D302" s="85" t="n">
        <x:v>0.6805555555555556</x:v>
      </x:c>
      <x:c r="E302" s="85" t="n">
        <x:v>0.7215277777777778</x:v>
      </x:c>
      <x:c r="F302" s="85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  <x:c r="S302" t="n">
        <x:v>0</x:v>
      </x:c>
      <x:c r="T302" t="str">
        <x:f>TEXT(INT(S302/60),"00")&amp;":"&amp;TEXT(MOD(S302,60),"00")</x:f>
        <x:v>00:00</x:v>
      </x:c>
      <x:c r="W302" t="n">
        <x:f>IF(S302&gt;0,1,0)</x:f>
        <x:v>0</x:v>
      </x:c>
    </x:row>
    <x:row r="303" ht="21" customHeight="1">
      <x:c r="A303" s="83" t="n">
        <x:v>46066</x:v>
      </x:c>
      <x:c r="B303" t="str">
        <x:v>sexta-feira</x:v>
      </x:c>
      <x:c r="C303" s="85" t="n">
        <x:v>0.5430555555555555</x:v>
      </x:c>
      <x:c r="D303" s="85" t="n">
        <x:v>0.6784722222222223</x:v>
      </x:c>
      <x:c r="E303" s="85" t="n">
        <x:v>0.7180555555555556</x:v>
      </x:c>
      <x:c r="F303" s="85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  <x:c r="S303" t="n">
        <x:v>0</x:v>
      </x:c>
      <x:c r="T303" t="str">
        <x:f>TEXT(INT(S303/60),"00")&amp;":"&amp;TEXT(MOD(S303,60),"00")</x:f>
        <x:v>00:00</x:v>
      </x:c>
      <x:c r="W303" t="n">
        <x:f>IF(S303&gt;0,1,0)</x:f>
        <x:v>0</x:v>
      </x:c>
    </x:row>
    <x:row r="304" ht="21" customHeight="1">
      <x:c r="A304" s="83" t="n">
        <x:v>46067</x:v>
      </x:c>
      <x:c r="B304" t="str">
        <x:v>sábado</x:v>
      </x:c>
      <x:c r="C304" s="85" t="n">
        <x:v>0.54375</x:v>
      </x:c>
      <x:c r="D304" s="85"/>
      <x:c r="E304" s="85"/>
      <x:c r="F304" s="85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  <x:c r="S304" t="n">
        <x:v>0</x:v>
      </x:c>
      <x:c r="T304" t="str">
        <x:f>TEXT(INT(S304/60),"00")&amp;":"&amp;TEXT(MOD(S304,60),"00")</x:f>
        <x:v>00:00</x:v>
      </x:c>
      <x:c r="W304" t="n">
        <x:f>IF(S304&gt;0,1,0)</x:f>
        <x:v>0</x:v>
      </x:c>
    </x:row>
    <x:row r="305" ht="21" customHeight="1">
      <x:c r="A305" s="83" t="n">
        <x:v>46069</x:v>
      </x:c>
      <x:c r="B305" t="str">
        <x:v>segunda-feira</x:v>
      </x:c>
      <x:c r="C305" s="85" t="n">
        <x:v>0.5465277777777777</x:v>
      </x:c>
      <x:c r="D305" s="85" t="n">
        <x:v>0.6791666666666667</x:v>
      </x:c>
      <x:c r="E305" s="85" t="n">
        <x:v>0.7236111111111111</x:v>
      </x:c>
      <x:c r="F305" s="85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  <x:c r="S305" t="n">
        <x:v>0</x:v>
      </x:c>
      <x:c r="T305" t="str">
        <x:f>TEXT(INT(S305/60),"00")&amp;":"&amp;TEXT(MOD(S305,60),"00")</x:f>
        <x:v>00:00</x:v>
      </x:c>
      <x:c r="W305" t="n">
        <x:f>IF(S305&gt;0,1,0)</x:f>
        <x:v>0</x:v>
      </x:c>
    </x:row>
    <x:row r="306" ht="21" customHeight="1">
      <x:c r="A306" s="83" t="n">
        <x:v>46070</x:v>
      </x:c>
      <x:c r="B306" t="str">
        <x:v>terça-feira</x:v>
      </x:c>
      <x:c r="C306" s="85" t="n">
        <x:v>0.5416666666666666</x:v>
      </x:c>
      <x:c r="D306" s="85" t="n">
        <x:v>0.6722222222222223</x:v>
      </x:c>
      <x:c r="E306" s="85" t="n">
        <x:v>0.7125</x:v>
      </x:c>
      <x:c r="F306" s="85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  <x:c r="S306" t="n">
        <x:v>0</x:v>
      </x:c>
      <x:c r="T306" t="str">
        <x:f>TEXT(INT(S306/60),"00")&amp;":"&amp;TEXT(MOD(S306,60),"00")</x:f>
        <x:v>00:00</x:v>
      </x:c>
      <x:c r="W306" t="n">
        <x:f>IF(S306&gt;0,1,0)</x:f>
        <x:v>0</x:v>
      </x:c>
    </x:row>
    <x:row r="307" ht="21" customHeight="1">
      <x:c r="A307" s="83" t="n">
        <x:v>46071</x:v>
      </x:c>
      <x:c r="B307" t="str">
        <x:v>quarta-feira</x:v>
      </x:c>
      <x:c r="C307" s="85" t="n">
        <x:v>0.5395833333333333</x:v>
      </x:c>
      <x:c r="D307" s="85" t="n">
        <x:v>0.6715277777777777</x:v>
      </x:c>
      <x:c r="E307" s="85" t="n">
        <x:v>0.7145833333333333</x:v>
      </x:c>
      <x:c r="F307" s="85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  <x:c r="S307" t="n">
        <x:v>0</x:v>
      </x:c>
      <x:c r="T307" t="str">
        <x:f>TEXT(INT(S307/60),"00")&amp;":"&amp;TEXT(MOD(S307,60),"00")</x:f>
        <x:v>00:00</x:v>
      </x:c>
      <x:c r="W307" t="n">
        <x:f>IF(S307&gt;0,1,0)</x:f>
        <x:v>0</x:v>
      </x:c>
    </x:row>
    <x:row r="308" ht="21" customHeight="1">
      <x:c r="A308" s="83" t="n">
        <x:v>46072</x:v>
      </x:c>
      <x:c r="B308" t="str">
        <x:v>quinta-feira</x:v>
      </x:c>
      <x:c r="C308" s="85" t="n">
        <x:v>0.5451388888888888</x:v>
      </x:c>
      <x:c r="D308" s="85" t="n">
        <x:v>0.6722222222222223</x:v>
      </x:c>
      <x:c r="E308" s="85" t="n">
        <x:v>0.7125</x:v>
      </x:c>
      <x:c r="F308" s="85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  <x:c r="S308" t="n">
        <x:v>0</x:v>
      </x:c>
      <x:c r="T308" t="str">
        <x:f>TEXT(INT(S308/60),"00")&amp;":"&amp;TEXT(MOD(S308,60),"00")</x:f>
        <x:v>00:00</x:v>
      </x:c>
      <x:c r="W308" t="n">
        <x:f>IF(S308&gt;0,1,0)</x:f>
        <x:v>0</x:v>
      </x:c>
    </x:row>
    <x:row r="309" ht="21" customHeight="1">
      <x:c r="A309" s="83" t="n">
        <x:v>46073</x:v>
      </x:c>
      <x:c r="B309" t="str">
        <x:v>sexta-feira</x:v>
      </x:c>
      <x:c r="C309" s="85" t="n">
        <x:v>0.5402777777777777</x:v>
      </x:c>
      <x:c r="D309" s="85" t="n">
        <x:v>0.6673611111111111</x:v>
      </x:c>
      <x:c r="E309" s="85" t="n">
        <x:v>0.7083333333333334</x:v>
      </x:c>
      <x:c r="F309" s="85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  <x:c r="S309" t="n">
        <x:v>0</x:v>
      </x:c>
      <x:c r="T309" t="str">
        <x:f>TEXT(INT(S309/60),"00")&amp;":"&amp;TEXT(MOD(S309,60),"00")</x:f>
        <x:v>00:00</x:v>
      </x:c>
      <x:c r="W309" t="n">
        <x:f>IF(S309&gt;0,1,0)</x:f>
        <x:v>0</x:v>
      </x:c>
    </x:row>
    <x:row r="310" ht="21" customHeight="1">
      <x:c r="A310" s="83" t="n">
        <x:v>46074</x:v>
      </x:c>
      <x:c r="B310" t="str">
        <x:v>sábado</x:v>
      </x:c>
      <x:c r="C310" s="85" t="n">
        <x:v>0.5409722222222222</x:v>
      </x:c>
      <x:c r="D310" s="85"/>
      <x:c r="E310" s="85"/>
      <x:c r="F310" s="85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  <x:c r="S310" t="n">
        <x:v>0</x:v>
      </x:c>
      <x:c r="T310" t="str">
        <x:f>TEXT(INT(S310/60),"00")&amp;":"&amp;TEXT(MOD(S310,60),"00")</x:f>
        <x:v>00:00</x:v>
      </x:c>
      <x:c r="W310" t="n">
        <x:f>IF(S310&gt;0,1,0)</x:f>
        <x:v>0</x:v>
      </x:c>
    </x:row>
    <x:row r="311" ht="21" customHeight="1">
      <x:c r="A311" s="83" t="n">
        <x:v>46076</x:v>
      </x:c>
      <x:c r="B311" t="str">
        <x:v>segunda-feira</x:v>
      </x:c>
      <x:c r="C311" s="85" t="n">
        <x:v>0.5451388888888888</x:v>
      </x:c>
      <x:c r="D311" s="85" t="n">
        <x:v>0.6666666666666666</x:v>
      </x:c>
      <x:c r="E311" s="85" t="n">
        <x:v>0.7097222222222223</x:v>
      </x:c>
      <x:c r="F311" s="85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  <x:c r="S311" t="n">
        <x:v>0</x:v>
      </x:c>
      <x:c r="T311" t="str">
        <x:f>TEXT(INT(S311/60),"00")&amp;":"&amp;TEXT(MOD(S311,60),"00")</x:f>
        <x:v>00:00</x:v>
      </x:c>
      <x:c r="W311" t="n">
        <x:f>IF(S311&gt;0,1,0)</x:f>
        <x:v>0</x:v>
      </x:c>
    </x:row>
    <x:row r="312" ht="21" customHeight="1">
      <x:c r="A312" s="83" t="n">
        <x:v>46077</x:v>
      </x:c>
      <x:c r="B312" t="str">
        <x:v>terça-feira</x:v>
      </x:c>
      <x:c r="C312" s="85" t="n">
        <x:v>0.5430555555555555</x:v>
      </x:c>
      <x:c r="D312" s="85" t="n">
        <x:v>0.6729166666666667</x:v>
      </x:c>
      <x:c r="E312" s="85" t="n">
        <x:v>0.7173611111111111</x:v>
      </x:c>
      <x:c r="F312" s="85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  <x:c r="S312" t="n">
        <x:v>0</x:v>
      </x:c>
      <x:c r="T312" t="str">
        <x:f>TEXT(INT(S312/60),"00")&amp;":"&amp;TEXT(MOD(S312,60),"00")</x:f>
        <x:v>00:00</x:v>
      </x:c>
      <x:c r="W312" t="n">
        <x:f>IF(S312&gt;0,1,0)</x:f>
        <x:v>0</x:v>
      </x:c>
    </x:row>
    <x:row r="313" ht="21" customHeight="1">
      <x:c r="A313" s="83" t="n">
        <x:v>46078</x:v>
      </x:c>
      <x:c r="B313" t="str">
        <x:v>quarta-feira</x:v>
      </x:c>
      <x:c r="C313" s="85" t="n">
        <x:v>0.5451388888888888</x:v>
      </x:c>
      <x:c r="D313" s="85" t="n">
        <x:v>0.6701388888888888</x:v>
      </x:c>
      <x:c r="E313" s="85" t="n">
        <x:v>0.7090277777777778</x:v>
      </x:c>
      <x:c r="F313" s="85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  <x:c r="S313" t="n">
        <x:v>0</x:v>
      </x:c>
      <x:c r="T313" t="str">
        <x:f>TEXT(INT(S313/60),"00")&amp;":"&amp;TEXT(MOD(S313,60),"00")</x:f>
        <x:v>00:00</x:v>
      </x:c>
      <x:c r="W313" t="n">
        <x:f>IF(S313&gt;0,1,0)</x:f>
        <x:v>0</x:v>
      </x:c>
    </x:row>
    <x:row r="314" ht="21" customHeight="1">
      <x:c r="A314" s="83" t="n">
        <x:v>46079</x:v>
      </x:c>
      <x:c r="B314" t="str">
        <x:v>quinta-feira</x:v>
      </x:c>
      <x:c r="C314" s="85" t="n">
        <x:v>0.5423611111111111</x:v>
      </x:c>
      <x:c r="D314" s="85" t="n">
        <x:v>0.6805555555555556</x:v>
      </x:c>
      <x:c r="E314" s="85" t="n">
        <x:v>0.7236111111111111</x:v>
      </x:c>
      <x:c r="F314" s="85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  <x:c r="S314" t="n">
        <x:v>0</x:v>
      </x:c>
      <x:c r="T314" t="str">
        <x:f>TEXT(INT(S314/60),"00")&amp;":"&amp;TEXT(MOD(S314,60),"00")</x:f>
        <x:v>00:00</x:v>
      </x:c>
      <x:c r="W314" t="n">
        <x:f>IF(S314&gt;0,1,0)</x:f>
        <x:v>0</x:v>
      </x:c>
    </x:row>
    <x:row r="315" ht="21" customHeight="1">
      <x:c r="A315" s="83" t="n">
        <x:v>46080</x:v>
      </x:c>
      <x:c r="B315" t="str">
        <x:v>sexta-feira</x:v>
      </x:c>
      <x:c r="C315" s="85" t="n">
        <x:v>0.5451388888888888</x:v>
      </x:c>
      <x:c r="D315" s="85" t="n">
        <x:v>0.6666666666666666</x:v>
      </x:c>
      <x:c r="E315" s="85" t="n">
        <x:v>0.7055555555555556</x:v>
      </x:c>
      <x:c r="F315" s="85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  <x:c r="S315" t="n">
        <x:v>0</x:v>
      </x:c>
      <x:c r="T315" t="str">
        <x:f>TEXT(INT(S315/60),"00")&amp;":"&amp;TEXT(MOD(S315,60),"00")</x:f>
        <x:v>00:00</x:v>
      </x:c>
      <x:c r="W315" t="n">
        <x:f>IF(S315&gt;0,1,0)</x:f>
        <x:v>0</x:v>
      </x:c>
    </x:row>
    <x:row r="316" ht="21" customHeight="1">
      <x:c r="A316" s="83" t="n">
        <x:v>46081</x:v>
      </x:c>
      <x:c r="B316" t="str">
        <x:v>sábado</x:v>
      </x:c>
      <x:c r="C316" s="85" t="n">
        <x:v>0.5381944444444444</x:v>
      </x:c>
      <x:c r="D316" s="85" t="n">
        <x:v>0.6701388888888888</x:v>
      </x:c>
      <x:c r="E316" s="85" t="n">
        <x:v>0.6805555555555556</x:v>
      </x:c>
      <x:c r="F316" s="85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  <x:c r="S316" t="n">
        <x:v>0</x:v>
      </x:c>
      <x:c r="T316" t="str">
        <x:f>TEXT(INT(S316/60),"00")&amp;":"&amp;TEXT(MOD(S316,60),"00")</x:f>
        <x:v>00:00</x:v>
      </x:c>
      <x:c r="W316" t="n">
        <x:f>IF(S316&gt;0,1,0)</x:f>
        <x:v>0</x:v>
      </x:c>
    </x:row>
    <x:row r="317" ht="21" customHeight="1">
      <x:c r="A317" s="83" t="n">
        <x:v>46083</x:v>
      </x:c>
      <x:c r="B317" t="str">
        <x:v>segunda-feira</x:v>
      </x:c>
      <x:c r="C317" s="85" t="n">
        <x:v>0.5451388888888888</x:v>
      </x:c>
      <x:c r="D317" s="85" t="n">
        <x:v>0.6805555555555556</x:v>
      </x:c>
      <x:c r="E317" s="85" t="n">
        <x:v>0.7243055555555555</x:v>
      </x:c>
      <x:c r="F317" s="85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  <x:c r="S317" t="n">
        <x:v>0</x:v>
      </x:c>
      <x:c r="T317" t="str">
        <x:f>TEXT(INT(S317/60),"00")&amp;":"&amp;TEXT(MOD(S317,60),"00")</x:f>
        <x:v>00:00</x:v>
      </x:c>
      <x:c r="W317" t="n">
        <x:f>IF(S317&gt;0,1,0)</x:f>
        <x:v>0</x:v>
      </x:c>
    </x:row>
    <x:row r="318" ht="21" customHeight="1">
      <x:c r="A318" s="83" t="n">
        <x:v>46084</x:v>
      </x:c>
      <x:c r="B318" t="str">
        <x:v>terça-feira</x:v>
      </x:c>
      <x:c r="C318" s="85" t="n">
        <x:v>0.5388888888888889</x:v>
      </x:c>
      <x:c r="D318" s="85" t="n">
        <x:v>0.6729166666666667</x:v>
      </x:c>
      <x:c r="E318" s="85" t="n">
        <x:v>0.7159722222222222</x:v>
      </x:c>
      <x:c r="F318" s="85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  <x:c r="S318" t="n">
        <x:v>0</x:v>
      </x:c>
      <x:c r="T318" t="str">
        <x:f>TEXT(INT(S318/60),"00")&amp;":"&amp;TEXT(MOD(S318,60),"00")</x:f>
        <x:v>00:00</x:v>
      </x:c>
      <x:c r="W318" t="n">
        <x:f>IF(S318&gt;0,1,0)</x:f>
        <x:v>0</x:v>
      </x:c>
    </x:row>
    <x:row r="319" ht="21" customHeight="1">
      <x:c r="A319" s="83" t="n">
        <x:v>46085</x:v>
      </x:c>
      <x:c r="B319" t="str">
        <x:v>quarta-feira</x:v>
      </x:c>
      <x:c r="C319" s="85" t="n">
        <x:v>0.5444444444444444</x:v>
      </x:c>
      <x:c r="D319" s="85" t="n">
        <x:v>0.6791666666666667</x:v>
      </x:c>
      <x:c r="E319" s="85" t="n">
        <x:v>0.71875</x:v>
      </x:c>
      <x:c r="F319" s="85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  <x:c r="S319" t="n">
        <x:v>0</x:v>
      </x:c>
      <x:c r="T319" t="str">
        <x:f>TEXT(INT(S319/60),"00")&amp;":"&amp;TEXT(MOD(S319,60),"00")</x:f>
        <x:v>00:00</x:v>
      </x:c>
      <x:c r="W319" t="n">
        <x:f>IF(S319&gt;0,1,0)</x:f>
        <x:v>0</x:v>
      </x:c>
    </x:row>
    <x:row r="320" ht="21" customHeight="1">
      <x:c r="A320" s="83" t="n">
        <x:v>46086</x:v>
      </x:c>
      <x:c r="B320" t="str">
        <x:v>quinta-feira</x:v>
      </x:c>
      <x:c r="C320" s="85" t="n">
        <x:v>0.5458333333333333</x:v>
      </x:c>
      <x:c r="D320" s="85" t="n">
        <x:v>0.6673611111111111</x:v>
      </x:c>
      <x:c r="E320" s="85" t="n">
        <x:v>0.70625</x:v>
      </x:c>
      <x:c r="F320" s="85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  <x:c r="S320" t="n">
        <x:v>0</x:v>
      </x:c>
      <x:c r="T320" t="str">
        <x:f>TEXT(INT(S320/60),"00")&amp;":"&amp;TEXT(MOD(S320,60),"00")</x:f>
        <x:v>00:00</x:v>
      </x:c>
      <x:c r="W320" t="n">
        <x:f>IF(S320&gt;0,1,0)</x:f>
        <x:v>0</x:v>
      </x:c>
    </x:row>
    <x:row r="321" ht="21" customHeight="1">
      <x:c r="A321" s="83" t="n">
        <x:v>46087</x:v>
      </x:c>
      <x:c r="B321" t="str">
        <x:v>sexta-feira</x:v>
      </x:c>
      <x:c r="C321" s="85" t="n">
        <x:v>0.5375</x:v>
      </x:c>
      <x:c r="D321" s="85" t="n">
        <x:v>0.6701388888888888</x:v>
      </x:c>
      <x:c r="E321" s="85" t="n">
        <x:v>0.7090277777777778</x:v>
      </x:c>
      <x:c r="F321" s="85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  <x:c r="S321" t="n">
        <x:v>0</x:v>
      </x:c>
      <x:c r="T321" t="str">
        <x:f>TEXT(INT(S321/60),"00")&amp;":"&amp;TEXT(MOD(S321,60),"00")</x:f>
        <x:v>00:00</x:v>
      </x:c>
      <x:c r="W321" t="n">
        <x:f>IF(S321&gt;0,1,0)</x:f>
        <x:v>0</x:v>
      </x:c>
    </x:row>
    <x:row r="322" ht="21" customHeight="1">
      <x:c r="A322" s="83" t="n">
        <x:v>46088</x:v>
      </x:c>
      <x:c r="B322" t="str">
        <x:v>sábado</x:v>
      </x:c>
      <x:c r="C322" s="85" t="n">
        <x:v>0.5451388888888888</x:v>
      </x:c>
      <x:c r="D322" s="85"/>
      <x:c r="E322" s="85"/>
      <x:c r="F322" s="85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  <x:c r="S322" t="n">
        <x:v>0</x:v>
      </x:c>
      <x:c r="T322" t="str">
        <x:f>TEXT(INT(S322/60),"00")&amp;":"&amp;TEXT(MOD(S322,60),"00")</x:f>
        <x:v>00:00</x:v>
      </x:c>
      <x:c r="W322" t="n">
        <x:f>IF(S322&gt;0,1,0)</x:f>
        <x:v>0</x:v>
      </x:c>
    </x:row>
    <x:row r="323" ht="21" customHeight="1">
      <x:c r="A323" s="83" t="n">
        <x:v>46090</x:v>
      </x:c>
      <x:c r="B323" t="str">
        <x:v>segunda-feira</x:v>
      </x:c>
      <x:c r="C323" s="85" t="n">
        <x:v>0.5458333333333333</x:v>
      </x:c>
      <x:c r="D323" s="85" t="n">
        <x:v>0.6743055555555556</x:v>
      </x:c>
      <x:c r="E323" s="85" t="n">
        <x:v>0.71875</x:v>
      </x:c>
      <x:c r="F323" s="85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  <x:c r="S323" t="n">
        <x:v>0</x:v>
      </x:c>
      <x:c r="T323" t="str">
        <x:f>TEXT(INT(S323/60),"00")&amp;":"&amp;TEXT(MOD(S323,60),"00")</x:f>
        <x:v>00:00</x:v>
      </x:c>
      <x:c r="W323" t="n">
        <x:f>IF(S323&gt;0,1,0)</x:f>
        <x:v>0</x:v>
      </x:c>
    </x:row>
    <x:row r="324" ht="21" customHeight="1">
      <x:c r="A324" s="83" t="n">
        <x:v>46091</x:v>
      </x:c>
      <x:c r="B324" t="str">
        <x:v>terça-feira</x:v>
      </x:c>
      <x:c r="C324" s="85" t="n">
        <x:v>0.5388888888888889</x:v>
      </x:c>
      <x:c r="D324" s="85" t="n">
        <x:v>0.66875</x:v>
      </x:c>
      <x:c r="E324" s="85" t="n">
        <x:v>0.7097222222222223</x:v>
      </x:c>
      <x:c r="F324" s="85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  <x:c r="S324" t="n">
        <x:v>0</x:v>
      </x:c>
      <x:c r="T324" t="str">
        <x:f>TEXT(INT(S324/60),"00")&amp;":"&amp;TEXT(MOD(S324,60),"00")</x:f>
        <x:v>00:00</x:v>
      </x:c>
      <x:c r="W324" t="n">
        <x:f>IF(S324&gt;0,1,0)</x:f>
        <x:v>0</x:v>
      </x:c>
    </x:row>
    <x:row r="325" ht="21" customHeight="1">
      <x:c r="A325" s="83" t="n">
        <x:v>46092</x:v>
      </x:c>
      <x:c r="B325" t="str">
        <x:v>quarta-feira</x:v>
      </x:c>
      <x:c r="C325" s="85" t="n">
        <x:v>0.5416666666666666</x:v>
      </x:c>
      <x:c r="D325" s="85" t="n">
        <x:v>0.6743055555555556</x:v>
      </x:c>
      <x:c r="E325" s="85" t="n">
        <x:v>0.7166666666666667</x:v>
      </x:c>
      <x:c r="F325" s="85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  <x:c r="S325" t="n">
        <x:v>0</x:v>
      </x:c>
      <x:c r="T325" t="str">
        <x:f>TEXT(INT(S325/60),"00")&amp;":"&amp;TEXT(MOD(S325,60),"00")</x:f>
        <x:v>00:00</x:v>
      </x:c>
      <x:c r="W325" t="n">
        <x:f>IF(S325&gt;0,1,0)</x:f>
        <x:v>0</x:v>
      </x:c>
    </x:row>
    <x:row r="326" ht="21" customHeight="1">
      <x:c r="A326" s="83" t="n">
        <x:v>46093</x:v>
      </x:c>
      <x:c r="B326" t="str">
        <x:v>quinta-feira</x:v>
      </x:c>
      <x:c r="C326" s="85" t="n">
        <x:v>0.5375</x:v>
      </x:c>
      <x:c r="D326" s="85" t="n">
        <x:v>0.6701388888888888</x:v>
      </x:c>
      <x:c r="E326" s="85" t="n">
        <x:v>0.7131944444444445</x:v>
      </x:c>
      <x:c r="F326" s="85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  <x:c r="S326" t="n">
        <x:v>0</x:v>
      </x:c>
      <x:c r="T326" t="str">
        <x:f>TEXT(INT(S326/60),"00")&amp;":"&amp;TEXT(MOD(S326,60),"00")</x:f>
        <x:v>00:00</x:v>
      </x:c>
      <x:c r="W326" t="n">
        <x:f>IF(S326&gt;0,1,0)</x:f>
        <x:v>0</x:v>
      </x:c>
    </x:row>
    <x:row r="327" ht="21" customHeight="1">
      <x:c r="A327" s="83" t="n">
        <x:v>46094</x:v>
      </x:c>
      <x:c r="B327" t="str">
        <x:v>sexta-feira</x:v>
      </x:c>
      <x:c r="C327" s="85" t="n">
        <x:v>0.5458333333333333</x:v>
      </x:c>
      <x:c r="D327" s="85" t="n">
        <x:v>0.6701388888888888</x:v>
      </x:c>
      <x:c r="E327" s="85" t="n">
        <x:v>0.7104166666666667</x:v>
      </x:c>
      <x:c r="F327" s="85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  <x:c r="S327" t="n">
        <x:v>0</x:v>
      </x:c>
      <x:c r="T327" t="str">
        <x:f>TEXT(INT(S327/60),"00")&amp;":"&amp;TEXT(MOD(S327,60),"00")</x:f>
        <x:v>00:00</x:v>
      </x:c>
      <x:c r="W327" t="n">
        <x:f>IF(S327&gt;0,1,0)</x:f>
        <x:v>0</x:v>
      </x:c>
    </x:row>
    <x:row r="328" ht="21" customHeight="1">
      <x:c r="A328" s="83" t="n">
        <x:v>46095</x:v>
      </x:c>
      <x:c r="B328" t="str">
        <x:v>sábado</x:v>
      </x:c>
      <x:c r="C328" s="85" t="n">
        <x:v>0.5409722222222222</x:v>
      </x:c>
      <x:c r="D328" s="85"/>
      <x:c r="E328" s="85"/>
      <x:c r="F328" s="85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  <x:c r="S328" t="n">
        <x:v>0</x:v>
      </x:c>
      <x:c r="T328" t="str">
        <x:f>TEXT(INT(S328/60),"00")&amp;":"&amp;TEXT(MOD(S328,60),"00")</x:f>
        <x:v>00:00</x:v>
      </x:c>
      <x:c r="W328" t="n">
        <x:f>IF(S328&gt;0,1,0)</x:f>
        <x:v>0</x:v>
      </x:c>
    </x:row>
    <x:row r="329" ht="21" customHeight="1">
      <x:c r="A329" s="83" t="n">
        <x:v>46097</x:v>
      </x:c>
      <x:c r="B329" t="str">
        <x:v>segunda-feira</x:v>
      </x:c>
      <x:c r="C329" s="85" t="n">
        <x:v>0.5395833333333333</x:v>
      </x:c>
      <x:c r="D329" s="85" t="n">
        <x:v>0.6763888888888889</x:v>
      </x:c>
      <x:c r="E329" s="85" t="n">
        <x:v>0.7159722222222222</x:v>
      </x:c>
      <x:c r="F329" s="85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  <x:c r="S329" t="n">
        <x:v>0</x:v>
      </x:c>
      <x:c r="T329" t="str">
        <x:f>TEXT(INT(S329/60),"00")&amp;":"&amp;TEXT(MOD(S329,60),"00")</x:f>
        <x:v>00:00</x:v>
      </x:c>
      <x:c r="W329" t="n">
        <x:f>IF(S329&gt;0,1,0)</x:f>
        <x:v>0</x:v>
      </x:c>
    </x:row>
    <x:row r="330" ht="21" customHeight="1">
      <x:c r="A330" s="83" t="n">
        <x:v>46098</x:v>
      </x:c>
      <x:c r="B330" t="str">
        <x:v>terça-feira</x:v>
      </x:c>
      <x:c r="C330" s="85" t="n">
        <x:v>0.5375</x:v>
      </x:c>
      <x:c r="D330" s="85" t="n">
        <x:v>0.68125</x:v>
      </x:c>
      <x:c r="E330" s="85" t="n">
        <x:v>0.7208333333333333</x:v>
      </x:c>
      <x:c r="F330" s="85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  <x:c r="S330" t="n">
        <x:v>0</x:v>
      </x:c>
      <x:c r="T330" t="str">
        <x:f>TEXT(INT(S330/60),"00")&amp;":"&amp;TEXT(MOD(S330,60),"00")</x:f>
        <x:v>00:00</x:v>
      </x:c>
      <x:c r="W330" t="n">
        <x:f>IF(S330&gt;0,1,0)</x:f>
        <x:v>0</x:v>
      </x:c>
    </x:row>
    <x:row r="331" ht="21" customHeight="1">
      <x:c r="A331" s="83" t="n">
        <x:v>46099</x:v>
      </x:c>
      <x:c r="B331" t="str">
        <x:v>quarta-feira</x:v>
      </x:c>
      <x:c r="C331" s="85" t="n">
        <x:v>0.54375</x:v>
      </x:c>
      <x:c r="D331" s="85" t="n">
        <x:v>0.6736111111111112</x:v>
      </x:c>
      <x:c r="E331" s="85" t="n">
        <x:v>0.7145833333333333</x:v>
      </x:c>
      <x:c r="F331" s="85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  <x:c r="S331" t="n">
        <x:v>0</x:v>
      </x:c>
      <x:c r="T331" t="str">
        <x:f>TEXT(INT(S331/60),"00")&amp;":"&amp;TEXT(MOD(S331,60),"00")</x:f>
        <x:v>00:00</x:v>
      </x:c>
      <x:c r="W331" t="n">
        <x:f>IF(S331&gt;0,1,0)</x:f>
        <x:v>0</x:v>
      </x:c>
    </x:row>
    <x:row r="332" ht="21" customHeight="1">
      <x:c r="A332" s="83" t="n">
        <x:v>46100</x:v>
      </x:c>
      <x:c r="B332" t="str">
        <x:v>quinta-feira</x:v>
      </x:c>
      <x:c r="C332" s="85" t="n">
        <x:v>0.5465277777777777</x:v>
      </x:c>
      <x:c r="D332" s="85" t="n">
        <x:v>0.6784722222222223</x:v>
      </x:c>
      <x:c r="E332" s="85" t="n">
        <x:v>0.7201388888888889</x:v>
      </x:c>
      <x:c r="F332" s="85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  <x:c r="S332" t="n">
        <x:v>0</x:v>
      </x:c>
      <x:c r="T332" t="str">
        <x:f>TEXT(INT(S332/60),"00")&amp;":"&amp;TEXT(MOD(S332,60),"00")</x:f>
        <x:v>00:00</x:v>
      </x:c>
      <x:c r="W332" t="n">
        <x:f>IF(S332&gt;0,1,0)</x:f>
        <x:v>0</x:v>
      </x:c>
    </x:row>
    <x:row r="333" ht="21" customHeight="1">
      <x:c r="A333" s="83" t="n">
        <x:v>46101</x:v>
      </x:c>
      <x:c r="B333" t="str">
        <x:v>sexta-feira</x:v>
      </x:c>
      <x:c r="C333" s="85" t="n">
        <x:v>0.5451388888888888</x:v>
      </x:c>
      <x:c r="D333" s="85" t="n">
        <x:v>0.68125</x:v>
      </x:c>
      <x:c r="E333" s="85" t="n">
        <x:v>0.7243055555555555</x:v>
      </x:c>
      <x:c r="F333" s="85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  <x:c r="S333" t="n">
        <x:v>0</x:v>
      </x:c>
      <x:c r="T333" t="str">
        <x:f>TEXT(INT(S333/60),"00")&amp;":"&amp;TEXT(MOD(S333,60),"00")</x:f>
        <x:v>00:00</x:v>
      </x:c>
      <x:c r="W333" t="n">
        <x:f>IF(S333&gt;0,1,0)</x:f>
        <x:v>0</x:v>
      </x:c>
    </x:row>
    <x:row r="334" ht="21" customHeight="1">
      <x:c r="A334" s="83" t="n">
        <x:v>46102</x:v>
      </x:c>
      <x:c r="B334" t="str">
        <x:v>sábado</x:v>
      </x:c>
      <x:c r="C334" s="85" t="n">
        <x:v>0.5388888888888889</x:v>
      </x:c>
      <x:c r="D334" s="85"/>
      <x:c r="E334" s="85"/>
      <x:c r="F334" s="85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  <x:c r="S334" t="n">
        <x:v>0</x:v>
      </x:c>
      <x:c r="T334" t="str">
        <x:f>TEXT(INT(S334/60),"00")&amp;":"&amp;TEXT(MOD(S334,60),"00")</x:f>
        <x:v>00:00</x:v>
      </x:c>
      <x:c r="W334" t="n">
        <x:f>IF(S334&gt;0,1,0)</x:f>
        <x:v>0</x:v>
      </x:c>
    </x:row>
    <x:row r="335" ht="21" customHeight="1">
      <x:c r="A335" s="83" t="n">
        <x:v>46104</x:v>
      </x:c>
      <x:c r="B335" t="str">
        <x:v>segunda-feira</x:v>
      </x:c>
      <x:c r="C335" s="85" t="n">
        <x:v>0.5409722222222222</x:v>
      </x:c>
      <x:c r="D335" s="85" t="n">
        <x:v>0.6784722222222223</x:v>
      </x:c>
      <x:c r="E335" s="85" t="n">
        <x:v>0.7173611111111111</x:v>
      </x:c>
      <x:c r="F335" s="85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  <x:c r="S335" t="n">
        <x:v>0</x:v>
      </x:c>
      <x:c r="T335" t="str">
        <x:f>TEXT(INT(S335/60),"00")&amp;":"&amp;TEXT(MOD(S335,60),"00")</x:f>
        <x:v>00:00</x:v>
      </x:c>
      <x:c r="W335" t="n">
        <x:f>IF(S335&gt;0,1,0)</x:f>
        <x:v>0</x:v>
      </x:c>
    </x:row>
    <x:row r="336" ht="21" customHeight="1">
      <x:c r="A336" s="83" t="n">
        <x:v>46105</x:v>
      </x:c>
      <x:c r="B336" t="str">
        <x:v>terça-feira</x:v>
      </x:c>
      <x:c r="C336" s="85" t="n">
        <x:v>0.5465277777777777</x:v>
      </x:c>
      <x:c r="D336" s="85" t="n">
        <x:v>0.675</x:v>
      </x:c>
      <x:c r="E336" s="85" t="n">
        <x:v>0.7180555555555556</x:v>
      </x:c>
      <x:c r="F336" s="85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  <x:c r="S336" t="n">
        <x:v>0</x:v>
      </x:c>
      <x:c r="T336" t="str">
        <x:f>TEXT(INT(S336/60),"00")&amp;":"&amp;TEXT(MOD(S336,60),"00")</x:f>
        <x:v>00:00</x:v>
      </x:c>
      <x:c r="W336" t="n">
        <x:f>IF(S336&gt;0,1,0)</x:f>
        <x:v>0</x:v>
      </x:c>
    </x:row>
    <x:row r="337" ht="21" customHeight="1">
      <x:c r="A337" s="83" t="n">
        <x:v>46106</x:v>
      </x:c>
      <x:c r="B337" t="str">
        <x:v>quarta-feira</x:v>
      </x:c>
      <x:c r="C337" s="85" t="n">
        <x:v>0.5444444444444444</x:v>
      </x:c>
      <x:c r="D337" s="85" t="n">
        <x:v>0.6784722222222223</x:v>
      </x:c>
      <x:c r="E337" s="85" t="n">
        <x:v>0.7194444444444444</x:v>
      </x:c>
      <x:c r="F337" s="85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  <x:c r="S337" t="n">
        <x:v>0</x:v>
      </x:c>
      <x:c r="T337" t="str">
        <x:f>TEXT(INT(S337/60),"00")&amp;":"&amp;TEXT(MOD(S337,60),"00")</x:f>
        <x:v>00:00</x:v>
      </x:c>
      <x:c r="W337" t="n">
        <x:f>IF(S337&gt;0,1,0)</x:f>
        <x:v>0</x:v>
      </x:c>
    </x:row>
    <x:row r="338" ht="21" customHeight="1">
      <x:c r="A338" s="83" t="n">
        <x:v>46107</x:v>
      </x:c>
      <x:c r="B338" t="str">
        <x:v>quinta-feira</x:v>
      </x:c>
      <x:c r="C338" s="85" t="n">
        <x:v>0.5395833333333333</x:v>
      </x:c>
      <x:c r="D338" s="85" t="n">
        <x:v>0.6770833333333334</x:v>
      </x:c>
      <x:c r="E338" s="85" t="n">
        <x:v>0.7194444444444444</x:v>
      </x:c>
      <x:c r="F338" s="85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  <x:c r="S338" t="n">
        <x:v>0</x:v>
      </x:c>
      <x:c r="T338" t="str">
        <x:f>TEXT(INT(S338/60),"00")&amp;":"&amp;TEXT(MOD(S338,60),"00")</x:f>
        <x:v>00:00</x:v>
      </x:c>
      <x:c r="W338" t="n">
        <x:f>IF(S338&gt;0,1,0)</x:f>
        <x:v>0</x:v>
      </x:c>
    </x:row>
    <x:row r="339" ht="21" customHeight="1">
      <x:c r="A339" s="83" t="n">
        <x:v>46108</x:v>
      </x:c>
      <x:c r="B339" t="str">
        <x:v>sexta-feira</x:v>
      </x:c>
      <x:c r="C339" s="85" t="n">
        <x:v>0.5458333333333333</x:v>
      </x:c>
      <x:c r="D339" s="85" t="n">
        <x:v>0.6798611111111111</x:v>
      </x:c>
      <x:c r="E339" s="85" t="n">
        <x:v>0.7215277777777778</x:v>
      </x:c>
      <x:c r="F339" s="85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  <x:c r="S339" t="n">
        <x:v>0</x:v>
      </x:c>
      <x:c r="T339" t="str">
        <x:f>TEXT(INT(S339/60),"00")&amp;":"&amp;TEXT(MOD(S339,60),"00")</x:f>
        <x:v>00:00</x:v>
      </x:c>
      <x:c r="W339" t="n">
        <x:f>IF(S339&gt;0,1,0)</x:f>
        <x:v>0</x:v>
      </x:c>
    </x:row>
    <x:row r="340" ht="21" customHeight="1">
      <x:c r="A340" s="83" t="n">
        <x:v>46109</x:v>
      </x:c>
      <x:c r="B340" t="str">
        <x:v>sábado</x:v>
      </x:c>
      <x:c r="C340" s="85" t="n">
        <x:v>0.5465277777777777</x:v>
      </x:c>
      <x:c r="D340" s="85"/>
      <x:c r="E340" s="85"/>
      <x:c r="F340" s="85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  <x:c r="S340" t="n">
        <x:v>0</x:v>
      </x:c>
      <x:c r="T340" t="str">
        <x:f>TEXT(INT(S340/60),"00")&amp;":"&amp;TEXT(MOD(S340,60),"00")</x:f>
        <x:v>00:00</x:v>
      </x:c>
      <x:c r="W340" t="n">
        <x:f>IF(S340&gt;0,1,0)</x:f>
        <x:v>0</x:v>
      </x:c>
    </x:row>
    <x:row r="341" ht="21" customHeight="1">
      <x:c r="A341" s="83" t="n">
        <x:v>46111</x:v>
      </x:c>
      <x:c r="B341" t="str">
        <x:v>segunda-feira</x:v>
      </x:c>
      <x:c r="C341" s="85" t="n">
        <x:v>0.5430555555555555</x:v>
      </x:c>
      <x:c r="D341" s="85" t="n">
        <x:v>0.6756944444444445</x:v>
      </x:c>
      <x:c r="E341" s="85" t="n">
        <x:v>0.7201388888888889</x:v>
      </x:c>
      <x:c r="F341" s="85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  <x:c r="S341" t="n">
        <x:v>0</x:v>
      </x:c>
      <x:c r="T341" t="str">
        <x:f>TEXT(INT(S341/60),"00")&amp;":"&amp;TEXT(MOD(S341,60),"00")</x:f>
        <x:v>00:00</x:v>
      </x:c>
      <x:c r="W341" t="n">
        <x:f>IF(S341&gt;0,1,0)</x:f>
        <x:v>0</x:v>
      </x:c>
    </x:row>
    <x:row r="342" ht="21" customHeight="1">
      <x:c r="A342" s="83" t="n">
        <x:v>46112</x:v>
      </x:c>
      <x:c r="B342" t="str">
        <x:v>terça-feira</x:v>
      </x:c>
      <x:c r="C342" s="85" t="n">
        <x:v>0.5388888888888889</x:v>
      </x:c>
      <x:c r="D342" s="85" t="n">
        <x:v>0.6798611111111111</x:v>
      </x:c>
      <x:c r="E342" s="85" t="n">
        <x:v>0.7208333333333333</x:v>
      </x:c>
      <x:c r="F342" s="85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  <x:c r="S342" t="n">
        <x:v>0</x:v>
      </x:c>
      <x:c r="T342" t="str">
        <x:f>TEXT(INT(S342/60),"00")&amp;":"&amp;TEXT(MOD(S342,60),"00")</x:f>
        <x:v>00:00</x:v>
      </x:c>
      <x:c r="W342" t="n">
        <x:f>IF(S342&gt;0,1,0)</x:f>
        <x:v>0</x:v>
      </x:c>
    </x:row>
    <x:row r="343" ht="21" customHeight="1">
      <x:c r="A343" s="83" t="n">
        <x:v>46113</x:v>
      </x:c>
      <x:c r="B343" t="str">
        <x:v>quarta-feira</x:v>
      </x:c>
      <x:c r="C343" s="85" t="n">
        <x:v>0.5402777777777777</x:v>
      </x:c>
      <x:c r="D343" s="85" t="n">
        <x:v>0.68125</x:v>
      </x:c>
      <x:c r="E343" s="85" t="n">
        <x:v>0.7201388888888889</x:v>
      </x:c>
      <x:c r="F343" s="85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  <x:c r="S343" t="n">
        <x:v>0</x:v>
      </x:c>
      <x:c r="T343" t="str">
        <x:f>TEXT(INT(S343/60),"00")&amp;":"&amp;TEXT(MOD(S343,60),"00")</x:f>
        <x:v>00:00</x:v>
      </x:c>
      <x:c r="W343" t="n">
        <x:f>IF(S343&gt;0,1,0)</x:f>
        <x:v>0</x:v>
      </x:c>
    </x:row>
    <x:row r="344" ht="21" customHeight="1">
      <x:c r="A344" s="83" t="n">
        <x:v>46114</x:v>
      </x:c>
      <x:c r="B344" t="str">
        <x:v>quinta-feira</x:v>
      </x:c>
      <x:c r="C344" s="85" t="n">
        <x:v>0.5451388888888888</x:v>
      </x:c>
      <x:c r="D344" s="85" t="n">
        <x:v>0.6743055555555556</x:v>
      </x:c>
      <x:c r="E344" s="85" t="n">
        <x:v>0.7159722222222222</x:v>
      </x:c>
      <x:c r="F344" s="85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  <x:c r="S344" t="n">
        <x:v>0</x:v>
      </x:c>
      <x:c r="T344" t="str">
        <x:f>TEXT(INT(S344/60),"00")&amp;":"&amp;TEXT(MOD(S344,60),"00")</x:f>
        <x:v>00:00</x:v>
      </x:c>
      <x:c r="W344" t="n">
        <x:f>IF(S344&gt;0,1,0)</x:f>
        <x:v>0</x:v>
      </x:c>
    </x:row>
    <x:row r="345" ht="21" customHeight="1">
      <x:c r="A345" s="83" t="n">
        <x:v>46115</x:v>
      </x:c>
      <x:c r="B345" t="str">
        <x:v>sexta-feira</x:v>
      </x:c>
      <x:c r="C345" s="85" t="n">
        <x:v>0.5409722222222222</x:v>
      </x:c>
      <x:c r="D345" s="85" t="n">
        <x:v>0.6770833333333334</x:v>
      </x:c>
      <x:c r="E345" s="85" t="n">
        <x:v>0.7166666666666667</x:v>
      </x:c>
      <x:c r="F345" s="85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  <x:c r="S345" t="n">
        <x:v>0</x:v>
      </x:c>
      <x:c r="T345" t="str">
        <x:f>TEXT(INT(S345/60),"00")&amp;":"&amp;TEXT(MOD(S345,60),"00")</x:f>
        <x:v>00:00</x:v>
      </x:c>
      <x:c r="W345" t="n">
        <x:f>IF(S345&gt;0,1,0)</x:f>
        <x:v>0</x:v>
      </x:c>
    </x:row>
    <x:row r="346" ht="21" customHeight="1">
      <x:c r="A346" s="83" t="n">
        <x:v>46116</x:v>
      </x:c>
      <x:c r="B346" t="str">
        <x:v>sábado</x:v>
      </x:c>
      <x:c r="C346" s="85" t="n">
        <x:v>0.5416666666666666</x:v>
      </x:c>
      <x:c r="D346" s="85"/>
      <x:c r="E346" s="85"/>
      <x:c r="F346" s="85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  <x:c r="S346" t="n">
        <x:v>0</x:v>
      </x:c>
      <x:c r="T346" t="str">
        <x:f>TEXT(INT(S346/60),"00")&amp;":"&amp;TEXT(MOD(S346,60),"00")</x:f>
        <x:v>00:00</x:v>
      </x:c>
      <x:c r="W346" t="n">
        <x:f>IF(S346&gt;0,1,0)</x:f>
        <x:v>0</x:v>
      </x:c>
    </x:row>
    <x:row r="347" ht="21" customHeight="1">
      <x:c r="A347" s="83" t="n">
        <x:v>46118</x:v>
      </x:c>
      <x:c r="B347" t="str">
        <x:v>segunda-feira</x:v>
      </x:c>
      <x:c r="C347" s="85" t="n">
        <x:v>0.5381944444444444</x:v>
      </x:c>
      <x:c r="D347" s="85" t="n">
        <x:v>0.6770833333333334</x:v>
      </x:c>
      <x:c r="E347" s="85" t="n">
        <x:v>0.7152777777777778</x:v>
      </x:c>
      <x:c r="F347" s="85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  <x:c r="S347" t="n">
        <x:v>0</x:v>
      </x:c>
      <x:c r="T347" t="str">
        <x:f>TEXT(INT(S347/60),"00")&amp;":"&amp;TEXT(MOD(S347,60),"00")</x:f>
        <x:v>00:00</x:v>
      </x:c>
      <x:c r="W347" t="n">
        <x:f>IF(S347&gt;0,1,0)</x:f>
        <x:v>0</x:v>
      </x:c>
    </x:row>
    <x:row r="348" ht="21" customHeight="1">
      <x:c r="A348" s="83" t="n">
        <x:v>46119</x:v>
      </x:c>
      <x:c r="B348" t="str">
        <x:v>terça-feira</x:v>
      </x:c>
      <x:c r="C348" s="85" t="n">
        <x:v>0.5388888888888889</x:v>
      </x:c>
      <x:c r="D348" s="85" t="n">
        <x:v>0.6680555555555555</x:v>
      </x:c>
      <x:c r="E348" s="85" t="n">
        <x:v>0.7125</x:v>
      </x:c>
      <x:c r="F348" s="85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  <x:c r="S348" t="n">
        <x:v>0</x:v>
      </x:c>
      <x:c r="T348" t="str">
        <x:f>TEXT(INT(S348/60),"00")&amp;":"&amp;TEXT(MOD(S348,60),"00")</x:f>
        <x:v>00:00</x:v>
      </x:c>
      <x:c r="W348" t="n">
        <x:f>IF(S348&gt;0,1,0)</x:f>
        <x:v>0</x:v>
      </x:c>
    </x:row>
    <x:row r="349" ht="21" customHeight="1">
      <x:c r="A349" s="83" t="n">
        <x:v>46120</x:v>
      </x:c>
      <x:c r="B349" t="str">
        <x:v>quarta-feira</x:v>
      </x:c>
      <x:c r="C349" s="85" t="n">
        <x:v>0.5416666666666666</x:v>
      </x:c>
      <x:c r="D349" s="85" t="n">
        <x:v>0.6743055555555556</x:v>
      </x:c>
      <x:c r="E349" s="85" t="n">
        <x:v>0.71875</x:v>
      </x:c>
      <x:c r="F349" s="85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  <x:c r="S349" t="n">
        <x:v>0</x:v>
      </x:c>
      <x:c r="T349" t="str">
        <x:f>TEXT(INT(S349/60),"00")&amp;":"&amp;TEXT(MOD(S349,60),"00")</x:f>
        <x:v>00:00</x:v>
      </x:c>
      <x:c r="W349" t="n">
        <x:f>IF(S349&gt;0,1,0)</x:f>
        <x:v>0</x:v>
      </x:c>
    </x:row>
    <x:row r="350" ht="21" customHeight="1">
      <x:c r="A350" s="83" t="n">
        <x:v>46121</x:v>
      </x:c>
      <x:c r="B350" t="str">
        <x:v>quinta-feira</x:v>
      </x:c>
      <x:c r="C350" s="85" t="n">
        <x:v>0.5458333333333333</x:v>
      </x:c>
      <x:c r="D350" s="85" t="n">
        <x:v>0.6722222222222223</x:v>
      </x:c>
      <x:c r="E350" s="85" t="n">
        <x:v>0.7118055555555556</x:v>
      </x:c>
      <x:c r="F350" s="85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  <x:c r="S350" t="n">
        <x:v>0</x:v>
      </x:c>
      <x:c r="T350" t="str">
        <x:f>TEXT(INT(S350/60),"00")&amp;":"&amp;TEXT(MOD(S350,60),"00")</x:f>
        <x:v>00:00</x:v>
      </x:c>
      <x:c r="W350" t="n">
        <x:f>IF(S350&gt;0,1,0)</x:f>
        <x:v>0</x:v>
      </x:c>
    </x:row>
    <x:row r="351" ht="21" customHeight="1">
      <x:c r="A351" s="83" t="n">
        <x:v>46122</x:v>
      </x:c>
      <x:c r="B351" t="str">
        <x:v>sexta-feira</x:v>
      </x:c>
      <x:c r="C351" s="85" t="n">
        <x:v>0.5458333333333333</x:v>
      </x:c>
      <x:c r="D351" s="85" t="n">
        <x:v>0.6659722222222222</x:v>
      </x:c>
      <x:c r="E351" s="85" t="n">
        <x:v>0.7055555555555556</x:v>
      </x:c>
      <x:c r="F351" s="85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  <x:c r="S351" t="n">
        <x:v>0</x:v>
      </x:c>
      <x:c r="T351" t="str">
        <x:f>TEXT(INT(S351/60),"00")&amp;":"&amp;TEXT(MOD(S351,60),"00")</x:f>
        <x:v>00:00</x:v>
      </x:c>
      <x:c r="W351" t="n">
        <x:f>IF(S351&gt;0,1,0)</x:f>
        <x:v>0</x:v>
      </x:c>
    </x:row>
    <x:row r="352" ht="21" customHeight="1">
      <x:c r="A352" s="83" t="n">
        <x:v>46123</x:v>
      </x:c>
      <x:c r="B352" t="str">
        <x:v>sábado</x:v>
      </x:c>
      <x:c r="C352" s="85" t="n">
        <x:v>0.5402777777777777</x:v>
      </x:c>
      <x:c r="D352" s="85"/>
      <x:c r="E352" s="85"/>
      <x:c r="F352" s="85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  <x:c r="S352" t="n">
        <x:v>0</x:v>
      </x:c>
      <x:c r="T352" t="str">
        <x:f>TEXT(INT(S352/60),"00")&amp;":"&amp;TEXT(MOD(S352,60),"00")</x:f>
        <x:v>00:00</x:v>
      </x:c>
      <x:c r="W352" t="n">
        <x:f>IF(S352&gt;0,1,0)</x:f>
        <x:v>0</x:v>
      </x:c>
    </x:row>
    <x:row r="353" ht="21" customHeight="1">
      <x:c r="A353" s="83" t="n">
        <x:v>46125</x:v>
      </x:c>
      <x:c r="B353" t="str">
        <x:v>segunda-feira</x:v>
      </x:c>
      <x:c r="C353" s="85" t="n">
        <x:v>0.5465277777777777</x:v>
      </x:c>
      <x:c r="D353" s="85" t="n">
        <x:v>0.6722222222222223</x:v>
      </x:c>
      <x:c r="E353" s="85" t="n">
        <x:v>0.7159722222222222</x:v>
      </x:c>
      <x:c r="F353" s="85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  <x:c r="S353" t="n">
        <x:v>0</x:v>
      </x:c>
      <x:c r="T353" t="str">
        <x:f>TEXT(INT(S353/60),"00")&amp;":"&amp;TEXT(MOD(S353,60),"00")</x:f>
        <x:v>00:00</x:v>
      </x:c>
      <x:c r="W353" t="n">
        <x:f>IF(S353&gt;0,1,0)</x:f>
        <x:v>0</x:v>
      </x:c>
    </x:row>
    <x:row r="354" ht="21" customHeight="1">
      <x:c r="A354" s="83" t="n">
        <x:v>46126</x:v>
      </x:c>
      <x:c r="B354" t="str">
        <x:v>terça-feira</x:v>
      </x:c>
      <x:c r="C354" s="85" t="n">
        <x:v>0.5375</x:v>
      </x:c>
      <x:c r="D354" s="85" t="n">
        <x:v>0.6743055555555556</x:v>
      </x:c>
      <x:c r="E354" s="85" t="n">
        <x:v>0.7138888888888889</x:v>
      </x:c>
      <x:c r="F354" s="85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  <x:c r="S354" t="n">
        <x:v>0</x:v>
      </x:c>
      <x:c r="T354" t="str">
        <x:f>TEXT(INT(S354/60),"00")&amp;":"&amp;TEXT(MOD(S354,60),"00")</x:f>
        <x:v>00:00</x:v>
      </x:c>
      <x:c r="W354" t="n">
        <x:f>IF(S354&gt;0,1,0)</x:f>
        <x:v>0</x:v>
      </x:c>
    </x:row>
    <x:row r="355" ht="21" customHeight="1">
      <x:c r="A355" s="83" t="n">
        <x:v>46127</x:v>
      </x:c>
      <x:c r="B355" t="str">
        <x:v>quarta-feira</x:v>
      </x:c>
      <x:c r="C355" s="85" t="n">
        <x:v>0.5444444444444444</x:v>
      </x:c>
      <x:c r="D355" s="85" t="n">
        <x:v>0.6680555555555555</x:v>
      </x:c>
      <x:c r="E355" s="85" t="n">
        <x:v>0.7083333333333334</x:v>
      </x:c>
      <x:c r="F355" s="85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  <x:c r="S355" t="n">
        <x:v>0</x:v>
      </x:c>
      <x:c r="T355" t="str">
        <x:f>TEXT(INT(S355/60),"00")&amp;":"&amp;TEXT(MOD(S355,60),"00")</x:f>
        <x:v>00:00</x:v>
      </x:c>
      <x:c r="W355" t="n">
        <x:f>IF(S355&gt;0,1,0)</x:f>
        <x:v>0</x:v>
      </x:c>
    </x:row>
    <x:row r="356" ht="21" customHeight="1">
      <x:c r="A356" s="83" t="n">
        <x:v>46128</x:v>
      </x:c>
      <x:c r="B356" t="str">
        <x:v>quinta-feira</x:v>
      </x:c>
      <x:c r="C356" s="85" t="n">
        <x:v>0.5388888888888889</x:v>
      </x:c>
      <x:c r="D356" s="85" t="n">
        <x:v>0.6770833333333334</x:v>
      </x:c>
      <x:c r="E356" s="85" t="n">
        <x:v>0.7215277777777778</x:v>
      </x:c>
      <x:c r="F356" s="85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  <x:c r="S356" t="n">
        <x:v>0</x:v>
      </x:c>
      <x:c r="T356" t="str">
        <x:f>TEXT(INT(S356/60),"00")&amp;":"&amp;TEXT(MOD(S356,60),"00")</x:f>
        <x:v>00:00</x:v>
      </x:c>
      <x:c r="W356" t="n">
        <x:f>IF(S356&gt;0,1,0)</x:f>
        <x:v>0</x:v>
      </x:c>
    </x:row>
    <x:row r="357" ht="21" customHeight="1">
      <x:c r="A357" s="83" t="n">
        <x:v>46129</x:v>
      </x:c>
      <x:c r="B357" t="str">
        <x:v>sexta-feira</x:v>
      </x:c>
      <x:c r="C357" s="85" t="n">
        <x:v>0.5423611111111111</x:v>
      </x:c>
      <x:c r="D357" s="85" t="n">
        <x:v>0.6666666666666666</x:v>
      </x:c>
      <x:c r="E357" s="85" t="n">
        <x:v>0.7090277777777778</x:v>
      </x:c>
      <x:c r="F357" s="85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  <x:c r="S357" t="n">
        <x:v>0</x:v>
      </x:c>
      <x:c r="T357" t="str">
        <x:f>TEXT(INT(S357/60),"00")&amp;":"&amp;TEXT(MOD(S357,60),"00")</x:f>
        <x:v>00:00</x:v>
      </x:c>
      <x:c r="W357" t="n">
        <x:f>IF(S357&gt;0,1,0)</x:f>
        <x:v>0</x:v>
      </x:c>
    </x:row>
    <x:row r="358" ht="21" customHeight="1">
      <x:c r="A358" s="83" t="n">
        <x:v>46130</x:v>
      </x:c>
      <x:c r="B358" t="str">
        <x:v>sábado</x:v>
      </x:c>
      <x:c r="C358" s="85" t="n">
        <x:v>0.5472222222222223</x:v>
      </x:c>
      <x:c r="D358" s="85" t="n">
        <x:v>0.6736111111111112</x:v>
      </x:c>
      <x:c r="E358" s="85" t="n">
        <x:v>0.6840277777777778</x:v>
      </x:c>
      <x:c r="F358" s="85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  <x:c r="S358" t="n">
        <x:v>0</x:v>
      </x:c>
      <x:c r="T358" t="str">
        <x:f>TEXT(INT(S358/60),"00")&amp;":"&amp;TEXT(MOD(S358,60),"00")</x:f>
        <x:v>00:00</x:v>
      </x:c>
      <x:c r="W358" t="n">
        <x:f>IF(S358&gt;0,1,0)</x:f>
        <x:v>0</x:v>
      </x:c>
    </x:row>
    <x:row r="359" ht="21" customHeight="1">
      <x:c r="A359" s="83" t="n">
        <x:v>46132</x:v>
      </x:c>
      <x:c r="B359" t="str">
        <x:v>segunda-feira</x:v>
      </x:c>
      <x:c r="C359" s="85" t="n">
        <x:v>0.5472222222222223</x:v>
      </x:c>
      <x:c r="D359" s="85" t="n">
        <x:v>0.68125</x:v>
      </x:c>
      <x:c r="E359" s="85" t="n">
        <x:v>0.7222222222222222</x:v>
      </x:c>
      <x:c r="F359" s="85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  <x:c r="S359" t="n">
        <x:v>0</x:v>
      </x:c>
      <x:c r="T359" t="str">
        <x:f>TEXT(INT(S359/60),"00")&amp;":"&amp;TEXT(MOD(S359,60),"00")</x:f>
        <x:v>00:00</x:v>
      </x:c>
      <x:c r="W359" t="n">
        <x:f>IF(S359&gt;0,1,0)</x:f>
        <x:v>0</x:v>
      </x:c>
    </x:row>
    <x:row r="360" ht="21" customHeight="1">
      <x:c r="A360" s="83" t="n">
        <x:v>46133</x:v>
      </x:c>
      <x:c r="B360" t="str">
        <x:v>terça-feira</x:v>
      </x:c>
      <x:c r="C360" s="85" t="n">
        <x:v>0.5388888888888889</x:v>
      </x:c>
      <x:c r="D360" s="85" t="n">
        <x:v>0.6680555555555555</x:v>
      </x:c>
      <x:c r="E360" s="85" t="n">
        <x:v>0.7076388888888889</x:v>
      </x:c>
      <x:c r="F360" s="85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  <x:c r="S360" t="n">
        <x:v>0</x:v>
      </x:c>
      <x:c r="T360" t="str">
        <x:f>TEXT(INT(S360/60),"00")&amp;":"&amp;TEXT(MOD(S360,60),"00")</x:f>
        <x:v>00:00</x:v>
      </x:c>
      <x:c r="W360" t="n">
        <x:f>IF(S360&gt;0,1,0)</x:f>
        <x:v>0</x:v>
      </x:c>
    </x:row>
    <x:row r="361" ht="21" customHeight="1">
      <x:c r="A361" s="83" t="n">
        <x:v>46134</x:v>
      </x:c>
      <x:c r="B361" t="str">
        <x:v>quarta-feira</x:v>
      </x:c>
      <x:c r="C361" s="85" t="n">
        <x:v>0.5409722222222222</x:v>
      </x:c>
      <x:c r="D361" s="85" t="n">
        <x:v>0.6756944444444445</x:v>
      </x:c>
      <x:c r="E361" s="85" t="n">
        <x:v>0.7152777777777778</x:v>
      </x:c>
      <x:c r="F361" s="85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  <x:c r="S361" t="n">
        <x:v>0</x:v>
      </x:c>
      <x:c r="T361" t="str">
        <x:f>TEXT(INT(S361/60),"00")&amp;":"&amp;TEXT(MOD(S361,60),"00")</x:f>
        <x:v>00:00</x:v>
      </x:c>
      <x:c r="W361" t="n">
        <x:f>IF(S361&gt;0,1,0)</x:f>
        <x:v>0</x:v>
      </x:c>
    </x:row>
    <x:row r="362" ht="21" customHeight="1">
      <x:c r="A362" s="83" t="n">
        <x:v>46135</x:v>
      </x:c>
      <x:c r="B362" t="str">
        <x:v>quinta-feira</x:v>
      </x:c>
      <x:c r="C362" s="85" t="n">
        <x:v>0.5395833333333333</x:v>
      </x:c>
      <x:c r="D362" s="85" t="n">
        <x:v>0.6736111111111112</x:v>
      </x:c>
      <x:c r="E362" s="85" t="n">
        <x:v>0.7152777777777778</x:v>
      </x:c>
      <x:c r="F362" s="85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  <x:c r="S362" t="n">
        <x:v>0</x:v>
      </x:c>
      <x:c r="T362" t="str">
        <x:f>TEXT(INT(S362/60),"00")&amp;":"&amp;TEXT(MOD(S362,60),"00")</x:f>
        <x:v>00:00</x:v>
      </x:c>
      <x:c r="W362" t="n">
        <x:f>IF(S362&gt;0,1,0)</x:f>
        <x:v>0</x:v>
      </x:c>
    </x:row>
    <x:row r="363" ht="21" customHeight="1">
      <x:c r="A363" s="83" t="n">
        <x:v>46136</x:v>
      </x:c>
      <x:c r="B363" t="str">
        <x:v>sexta-feira</x:v>
      </x:c>
      <x:c r="C363" s="85" t="n">
        <x:v>0.5402777777777777</x:v>
      </x:c>
      <x:c r="D363" s="85" t="n">
        <x:v>0.68125</x:v>
      </x:c>
      <x:c r="E363" s="85" t="n">
        <x:v>0.7256944444444444</x:v>
      </x:c>
      <x:c r="F363" s="85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  <x:c r="S363" t="n">
        <x:v>0</x:v>
      </x:c>
      <x:c r="T363" t="str">
        <x:f>TEXT(INT(S363/60),"00")&amp;":"&amp;TEXT(MOD(S363,60),"00")</x:f>
        <x:v>00:00</x:v>
      </x:c>
      <x:c r="W363" t="n">
        <x:f>IF(S363&gt;0,1,0)</x:f>
        <x:v>0</x:v>
      </x:c>
    </x:row>
    <x:row r="364" ht="21" customHeight="1">
      <x:c r="A364" s="83" t="n">
        <x:v>46137</x:v>
      </x:c>
      <x:c r="B364" t="str">
        <x:v>sábado</x:v>
      </x:c>
      <x:c r="C364" s="85" t="n">
        <x:v>0.5472222222222223</x:v>
      </x:c>
      <x:c r="D364" s="85" t="n">
        <x:v>0.6770833333333334</x:v>
      </x:c>
      <x:c r="E364" s="85" t="n">
        <x:v>0.6875</x:v>
      </x:c>
      <x:c r="F364" s="85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  <x:c r="S364" t="n">
        <x:v>0</x:v>
      </x:c>
      <x:c r="T364" t="str">
        <x:f>TEXT(INT(S364/60),"00")&amp;":"&amp;TEXT(MOD(S364,60),"00")</x:f>
        <x:v>00:00</x:v>
      </x:c>
      <x:c r="W364" t="n">
        <x:f>IF(S364&gt;0,1,0)</x:f>
        <x:v>0</x:v>
      </x:c>
    </x:row>
    <x:row r="365" ht="21" customHeight="1">
      <x:c r="A365" s="83" t="n">
        <x:v>46139</x:v>
      </x:c>
      <x:c r="B365" t="str">
        <x:v>segunda-feira</x:v>
      </x:c>
      <x:c r="C365" s="85" t="n">
        <x:v>0.5423611111111111</x:v>
      </x:c>
      <x:c r="D365" s="85" t="n">
        <x:v>0.6715277777777777</x:v>
      </x:c>
      <x:c r="E365" s="85" t="n">
        <x:v>0.7118055555555556</x:v>
      </x:c>
      <x:c r="F365" s="85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  <x:c r="S365" t="n">
        <x:v>0</x:v>
      </x:c>
      <x:c r="T365" t="str">
        <x:f>TEXT(INT(S365/60),"00")&amp;":"&amp;TEXT(MOD(S365,60),"00")</x:f>
        <x:v>00:00</x:v>
      </x:c>
      <x:c r="W365" t="n">
        <x:f>IF(S365&gt;0,1,0)</x:f>
        <x:v>0</x:v>
      </x:c>
    </x:row>
    <x:row r="366" ht="21" customHeight="1">
      <x:c r="A366" s="83" t="n">
        <x:v>46140</x:v>
      </x:c>
      <x:c r="B366" t="str">
        <x:v>terça-feira</x:v>
      </x:c>
      <x:c r="C366" s="85" t="n">
        <x:v>0.5444444444444444</x:v>
      </x:c>
      <x:c r="D366" s="85" t="n">
        <x:v>0.6666666666666666</x:v>
      </x:c>
      <x:c r="E366" s="85" t="n">
        <x:v>0.7076388888888889</x:v>
      </x:c>
      <x:c r="F366" s="85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  <x:c r="S366" t="n">
        <x:v>0</x:v>
      </x:c>
      <x:c r="T366" t="str">
        <x:f>TEXT(INT(S366/60),"00")&amp;":"&amp;TEXT(MOD(S366,60),"00")</x:f>
        <x:v>00:00</x:v>
      </x:c>
      <x:c r="W366" t="n">
        <x:f>IF(S366&gt;0,1,0)</x:f>
        <x:v>0</x:v>
      </x:c>
    </x:row>
    <x:row r="367" ht="21" customHeight="1">
      <x:c r="A367" s="83" t="n">
        <x:v>46141</x:v>
      </x:c>
      <x:c r="B367" t="str">
        <x:v>quarta-feira</x:v>
      </x:c>
      <x:c r="C367" s="85" t="n">
        <x:v>0.5375</x:v>
      </x:c>
      <x:c r="D367" s="85" t="n">
        <x:v>0.6777777777777778</x:v>
      </x:c>
      <x:c r="E367" s="85" t="n">
        <x:v>0.7166666666666667</x:v>
      </x:c>
      <x:c r="F367" s="85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  <x:c r="S367" t="n">
        <x:v>0</x:v>
      </x:c>
      <x:c r="T367" t="str">
        <x:f>TEXT(INT(S367/60),"00")&amp;":"&amp;TEXT(MOD(S367,60),"00")</x:f>
        <x:v>00:00</x:v>
      </x:c>
      <x:c r="W367" t="n">
        <x:f>IF(S367&gt;0,1,0)</x:f>
        <x:v>0</x:v>
      </x:c>
    </x:row>
    <x:row r="368" ht="21" customHeight="1">
      <x:c r="A368" s="83" t="n">
        <x:v>46142</x:v>
      </x:c>
      <x:c r="B368" t="str">
        <x:v>quinta-feira</x:v>
      </x:c>
      <x:c r="C368" s="85" t="n">
        <x:v>0.5465277777777777</x:v>
      </x:c>
      <x:c r="D368" s="85" t="n">
        <x:v>0.6736111111111112</x:v>
      </x:c>
      <x:c r="E368" s="85" t="n">
        <x:v>0.7138888888888889</x:v>
      </x:c>
      <x:c r="F368" s="85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  <x:c r="S368" t="n">
        <x:v>0</x:v>
      </x:c>
      <x:c r="T368" t="str">
        <x:f>TEXT(INT(S368/60),"00")&amp;":"&amp;TEXT(MOD(S368,60),"00")</x:f>
        <x:v>00:00</x:v>
      </x:c>
      <x:c r="W368" t="n">
        <x:f>IF(S368&gt;0,1,0)</x:f>
        <x:v>0</x:v>
      </x:c>
    </x:row>
    <x:row r="369" ht="21" customHeight="1">
      <x:c r="A369" s="83" t="n">
        <x:v>46143</x:v>
      </x:c>
      <x:c r="B369" t="str">
        <x:v>sexta-feira</x:v>
      </x:c>
      <x:c r="C369" s="85" t="n">
        <x:v>0.5375</x:v>
      </x:c>
      <x:c r="D369" s="85" t="n">
        <x:v>0.675</x:v>
      </x:c>
      <x:c r="E369" s="85" t="n">
        <x:v>0.71875</x:v>
      </x:c>
      <x:c r="F369" s="85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  <x:c r="S369" t="n">
        <x:v>0</x:v>
      </x:c>
      <x:c r="T369" t="str">
        <x:f>TEXT(INT(S369/60),"00")&amp;":"&amp;TEXT(MOD(S369,60),"00")</x:f>
        <x:v>00:00</x:v>
      </x:c>
      <x:c r="W369" t="n">
        <x:f>IF(S369&gt;0,1,0)</x:f>
        <x:v>0</x:v>
      </x:c>
    </x:row>
    <x:row r="370" ht="21" customHeight="1">
      <x:c r="A370" s="83" t="n">
        <x:v>46144</x:v>
      </x:c>
      <x:c r="B370" t="str">
        <x:v>sábado</x:v>
      </x:c>
      <x:c r="C370" s="85" t="n">
        <x:v>0.5465277777777777</x:v>
      </x:c>
      <x:c r="D370" s="85" t="n">
        <x:v>0.6493055555555556</x:v>
      </x:c>
      <x:c r="E370" s="85" t="n">
        <x:v>0.6597222222222222</x:v>
      </x:c>
      <x:c r="F370" s="85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  <x:c r="S370" t="n">
        <x:v>0</x:v>
      </x:c>
      <x:c r="T370" t="str">
        <x:f>TEXT(INT(S370/60),"00")&amp;":"&amp;TEXT(MOD(S370,60),"00")</x:f>
        <x:v>00:00</x:v>
      </x:c>
      <x:c r="W370" t="n">
        <x:f>IF(S370&gt;0,1,0)</x:f>
        <x:v>0</x:v>
      </x:c>
    </x:row>
    <x:row r="371" ht="21" customHeight="1">
      <x:c r="A371" s="83" t="n">
        <x:v>46146</x:v>
      </x:c>
      <x:c r="B371" t="str">
        <x:v>segunda-feira</x:v>
      </x:c>
      <x:c r="C371" s="85" t="n">
        <x:v>0.5451388888888888</x:v>
      </x:c>
      <x:c r="D371" s="85" t="n">
        <x:v>0.6763888888888889</x:v>
      </x:c>
      <x:c r="E371" s="85" t="n">
        <x:v>0.7159722222222222</x:v>
      </x:c>
      <x:c r="F371" s="85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  <x:c r="S371" t="n">
        <x:v>0</x:v>
      </x:c>
      <x:c r="T371" t="str">
        <x:f>TEXT(INT(S371/60),"00")&amp;":"&amp;TEXT(MOD(S371,60),"00")</x:f>
        <x:v>00:00</x:v>
      </x:c>
      <x:c r="W371" t="n">
        <x:f>IF(S371&gt;0,1,0)</x:f>
        <x:v>0</x:v>
      </x:c>
    </x:row>
    <x:row r="372" ht="21" customHeight="1">
      <x:c r="A372" s="83" t="n">
        <x:v>46147</x:v>
      </x:c>
      <x:c r="B372" t="str">
        <x:v>terça-feira</x:v>
      </x:c>
      <x:c r="C372" s="85" t="n">
        <x:v>0.5409722222222222</x:v>
      </x:c>
      <x:c r="D372" s="85" t="n">
        <x:v>0.6756944444444445</x:v>
      </x:c>
      <x:c r="E372" s="85" t="n">
        <x:v>0.7180555555555556</x:v>
      </x:c>
      <x:c r="F372" s="85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  <x:c r="S372" t="n">
        <x:v>0</x:v>
      </x:c>
      <x:c r="T372" t="str">
        <x:f>TEXT(INT(S372/60),"00")&amp;":"&amp;TEXT(MOD(S372,60),"00")</x:f>
        <x:v>00:00</x:v>
      </x:c>
      <x:c r="W372" t="n">
        <x:f>IF(S372&gt;0,1,0)</x:f>
        <x:v>0</x:v>
      </x:c>
    </x:row>
    <x:row r="373" ht="21" customHeight="1">
      <x:c r="A373" s="83" t="n">
        <x:v>46148</x:v>
      </x:c>
      <x:c r="B373" t="str">
        <x:v>quarta-feira</x:v>
      </x:c>
      <x:c r="C373" s="85" t="n">
        <x:v>0.5423611111111111</x:v>
      </x:c>
      <x:c r="D373" s="85" t="n">
        <x:v>0.6729166666666667</x:v>
      </x:c>
      <x:c r="E373" s="85" t="n">
        <x:v>0.7152777777777778</x:v>
      </x:c>
      <x:c r="F373" s="85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  <x:c r="S373" t="n">
        <x:v>0</x:v>
      </x:c>
      <x:c r="T373" t="str">
        <x:f>TEXT(INT(S373/60),"00")&amp;":"&amp;TEXT(MOD(S373,60),"00")</x:f>
        <x:v>00:00</x:v>
      </x:c>
      <x:c r="W373" t="n">
        <x:f>IF(S373&gt;0,1,0)</x:f>
        <x:v>0</x:v>
      </x:c>
    </x:row>
    <x:row r="374" ht="21" customHeight="1">
      <x:c r="A374" s="83" t="n">
        <x:v>46149</x:v>
      </x:c>
      <x:c r="B374" t="str">
        <x:v>quinta-feira</x:v>
      </x:c>
      <x:c r="C374" s="85" t="n">
        <x:v>0.5416666666666666</x:v>
      </x:c>
      <x:c r="D374" s="85" t="n">
        <x:v>0.6722222222222223</x:v>
      </x:c>
      <x:c r="E374" s="85" t="n">
        <x:v>0.7138888888888889</x:v>
      </x:c>
      <x:c r="F374" s="85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  <x:c r="S374" t="n">
        <x:v>0</x:v>
      </x:c>
      <x:c r="T374" t="str">
        <x:f>TEXT(INT(S374/60),"00")&amp;":"&amp;TEXT(MOD(S374,60),"00")</x:f>
        <x:v>00:00</x:v>
      </x:c>
      <x:c r="W374" t="n">
        <x:f>IF(S374&gt;0,1,0)</x:f>
        <x:v>0</x:v>
      </x:c>
    </x:row>
    <x:row r="375" ht="21" customHeight="1">
      <x:c r="A375" s="83" t="n">
        <x:v>46150</x:v>
      </x:c>
      <x:c r="B375" t="str">
        <x:v>sexta-feira</x:v>
      </x:c>
      <x:c r="C375" s="85" t="n">
        <x:v>0.5430555555555555</x:v>
      </x:c>
      <x:c r="D375" s="85" t="n">
        <x:v>0.6659722222222222</x:v>
      </x:c>
      <x:c r="E375" s="85" t="n">
        <x:v>0.7090277777777778</x:v>
      </x:c>
      <x:c r="F375" s="85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  <x:c r="S375" t="n">
        <x:v>0</x:v>
      </x:c>
      <x:c r="T375" t="str">
        <x:f>TEXT(INT(S375/60),"00")&amp;":"&amp;TEXT(MOD(S375,60),"00")</x:f>
        <x:v>00:00</x:v>
      </x:c>
      <x:c r="W375" t="n">
        <x:f>IF(S375&gt;0,1,0)</x:f>
        <x:v>0</x:v>
      </x:c>
    </x:row>
    <x:row r="376" ht="21" customHeight="1">
      <x:c r="A376" s="83" t="n">
        <x:v>46151</x:v>
      </x:c>
      <x:c r="B376" t="str">
        <x:v>sábado</x:v>
      </x:c>
      <x:c r="C376" s="85" t="n">
        <x:v>0.5423611111111111</x:v>
      </x:c>
      <x:c r="D376" s="85" t="n">
        <x:v>0.6666666666666666</x:v>
      </x:c>
      <x:c r="E376" s="85" t="n">
        <x:v>0.7083333333333334</x:v>
      </x:c>
      <x:c r="F376" s="85" t="n">
        <x:v>0.9166666666666666</x:v>
      </x:c>
      <x:c r="G376" t="str">
        <x:f>TEXT(INT(K376/60),"00")&amp;":"&amp;TEXT(MOD(K376,60),"00")</x:f>
        <x:v>07:59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+03:59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479</x:v>
      </x:c>
      <x:c r="L376" t="n">
        <x:v>240</x:v>
      </x:c>
      <x:c r="M376" t="n">
        <x:f>K376-L376</x:f>
        <x:v>239</x:v>
      </x:c>
      <x:c r="N376" t="n">
        <x:f>MAX(0,M376)</x:f>
        <x:v>239</x:v>
      </x:c>
      <x:c r="O376" t="n">
        <x:f>MAX(0,-M376)</x:f>
        <x:v>0</x:v>
      </x:c>
      <x:c r="P376" t="str">
        <x:v>Ponto registrado — jornada revisada</x:v>
      </x:c>
      <x:c r="Q376" t="str">
        <x:v>Horários da planilha de jornadas revisada</x:v>
      </x:c>
      <x:c r="R376" t="str">
        <x:v>2026-05</x:v>
      </x:c>
      <x:c r="S376" t="n">
        <x:v>0</x:v>
      </x:c>
      <x:c r="T376" t="str">
        <x:f>TEXT(INT(S376/60),"00")&amp;":"&amp;TEXT(MOD(S376,60),"00")</x:f>
        <x:v>00:00</x:v>
      </x:c>
      <x:c r="W376" t="n">
        <x:f>IF(S376&gt;0,1,0)</x:f>
        <x:v>0</x:v>
      </x:c>
    </x:row>
    <x:row r="377" ht="21" customHeight="1">
      <x:c r="A377" s="83" t="n">
        <x:v>46153</x:v>
      </x:c>
      <x:c r="B377" t="str">
        <x:v>segunda-feira</x:v>
      </x:c>
      <x:c r="C377" s="85" t="n">
        <x:v>0.5451388888888888</x:v>
      </x:c>
      <x:c r="D377" s="85" t="n">
        <x:v>0.6777777777777778</x:v>
      </x:c>
      <x:c r="E377" s="85" t="n">
        <x:v>0.7208333333333333</x:v>
      </x:c>
      <x:c r="F377" s="85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  <x:c r="S377" t="n">
        <x:v>0</x:v>
      </x:c>
      <x:c r="T377" t="str">
        <x:f>TEXT(INT(S377/60),"00")&amp;":"&amp;TEXT(MOD(S377,60),"00")</x:f>
        <x:v>00:00</x:v>
      </x:c>
      <x:c r="W377" t="n">
        <x:f>IF(S377&gt;0,1,0)</x:f>
        <x:v>0</x:v>
      </x:c>
    </x:row>
    <x:row r="378" ht="21" customHeight="1">
      <x:c r="A378" s="83" t="n">
        <x:v>46154</x:v>
      </x:c>
      <x:c r="B378" t="str">
        <x:v>terça-feira</x:v>
      </x:c>
      <x:c r="C378" s="85" t="n">
        <x:v>0.5458333333333333</x:v>
      </x:c>
      <x:c r="D378" s="85" t="n">
        <x:v>0.6736111111111112</x:v>
      </x:c>
      <x:c r="E378" s="85" t="n">
        <x:v>0.7152777777777778</x:v>
      </x:c>
      <x:c r="F378" s="85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  <x:c r="S378" t="n">
        <x:v>0</x:v>
      </x:c>
      <x:c r="T378" t="str">
        <x:f>TEXT(INT(S378/60),"00")&amp;":"&amp;TEXT(MOD(S378,60),"00")</x:f>
        <x:v>00:00</x:v>
      </x:c>
      <x:c r="W378" t="n">
        <x:f>IF(S378&gt;0,1,0)</x:f>
        <x:v>0</x:v>
      </x:c>
    </x:row>
    <x:row r="379" ht="21" customHeight="1">
      <x:c r="A379" s="83" t="n">
        <x:v>46155</x:v>
      </x:c>
      <x:c r="B379" t="str">
        <x:v>quarta-feira</x:v>
      </x:c>
      <x:c r="C379" s="85" t="n">
        <x:v>0.5402777777777777</x:v>
      </x:c>
      <x:c r="D379" s="85" t="n">
        <x:v>0.6784722222222223</x:v>
      </x:c>
      <x:c r="E379" s="85" t="n">
        <x:v>0.7180555555555556</x:v>
      </x:c>
      <x:c r="F379" s="85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  <x:c r="S379" t="n">
        <x:v>0</x:v>
      </x:c>
      <x:c r="T379" t="str">
        <x:f>TEXT(INT(S379/60),"00")&amp;":"&amp;TEXT(MOD(S379,60),"00")</x:f>
        <x:v>00:00</x:v>
      </x:c>
      <x:c r="W379" t="n">
        <x:f>IF(S379&gt;0,1,0)</x:f>
        <x:v>0</x:v>
      </x:c>
    </x:row>
    <x:row r="380" ht="21" customHeight="1">
      <x:c r="A380" s="83" t="n">
        <x:v>46156</x:v>
      </x:c>
      <x:c r="B380" t="str">
        <x:v>quinta-feira</x:v>
      </x:c>
      <x:c r="C380" s="85" t="n">
        <x:v>0.5465277777777777</x:v>
      </x:c>
      <x:c r="D380" s="85" t="n">
        <x:v>0.6777777777777778</x:v>
      </x:c>
      <x:c r="E380" s="85" t="n">
        <x:v>0.7201388888888889</x:v>
      </x:c>
      <x:c r="F380" s="85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  <x:c r="S380" t="n">
        <x:v>0</x:v>
      </x:c>
      <x:c r="T380" t="str">
        <x:f>TEXT(INT(S380/60),"00")&amp;":"&amp;TEXT(MOD(S380,60),"00")</x:f>
        <x:v>00:00</x:v>
      </x:c>
      <x:c r="W380" t="n">
        <x:f>IF(S380&gt;0,1,0)</x:f>
        <x:v>0</x:v>
      </x:c>
    </x:row>
    <x:row r="381" ht="21" customHeight="1">
      <x:c r="A381" s="83" t="n">
        <x:v>46157</x:v>
      </x:c>
      <x:c r="B381" t="str">
        <x:v>sexta-feira</x:v>
      </x:c>
      <x:c r="C381" s="85" t="n">
        <x:v>0.5423611111111111</x:v>
      </x:c>
      <x:c r="D381" s="85" t="n">
        <x:v>0.6722222222222223</x:v>
      </x:c>
      <x:c r="E381" s="85" t="n">
        <x:v>0.7131944444444445</x:v>
      </x:c>
      <x:c r="F381" s="85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  <x:c r="S381" t="n">
        <x:v>0</x:v>
      </x:c>
      <x:c r="T381" t="str">
        <x:f>TEXT(INT(S381/60),"00")&amp;":"&amp;TEXT(MOD(S381,60),"00")</x:f>
        <x:v>00:00</x:v>
      </x:c>
      <x:c r="W381" t="n">
        <x:f>IF(S381&gt;0,1,0)</x:f>
        <x:v>0</x:v>
      </x:c>
    </x:row>
    <x:row r="382" ht="21" customHeight="1">
      <x:c r="A382" s="83" t="n">
        <x:v>46158</x:v>
      </x:c>
      <x:c r="B382" t="str">
        <x:v>sábado</x:v>
      </x:c>
      <x:c r="C382" s="85" t="n">
        <x:v>0.5402777777777777</x:v>
      </x:c>
      <x:c r="D382" s="85" t="n">
        <x:v>0.65625</x:v>
      </x:c>
      <x:c r="E382" s="85" t="n">
        <x:v>0.6666666666666666</x:v>
      </x:c>
      <x:c r="F382" s="85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  <x:c r="S382" t="n">
        <x:v>0</x:v>
      </x:c>
      <x:c r="T382" t="str">
        <x:f>TEXT(INT(S382/60),"00")&amp;":"&amp;TEXT(MOD(S382,60),"00")</x:f>
        <x:v>00:00</x:v>
      </x:c>
      <x:c r="W382" t="n">
        <x:f>IF(S382&gt;0,1,0)</x:f>
        <x:v>0</x:v>
      </x:c>
    </x:row>
    <x:row r="383" ht="21" customHeight="1">
      <x:c r="A383" s="83" t="n">
        <x:v>46160</x:v>
      </x:c>
      <x:c r="B383" t="str">
        <x:v>segunda-feira</x:v>
      </x:c>
      <x:c r="C383" s="85" t="n">
        <x:v>0.5381944444444444</x:v>
      </x:c>
      <x:c r="D383" s="85" t="n">
        <x:v>0.6777777777777778</x:v>
      </x:c>
      <x:c r="E383" s="85" t="n">
        <x:v>0.7215277777777778</x:v>
      </x:c>
      <x:c r="F383" s="85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  <x:c r="S383" t="n">
        <x:v>0</x:v>
      </x:c>
      <x:c r="T383" t="str">
        <x:f>TEXT(INT(S383/60),"00")&amp;":"&amp;TEXT(MOD(S383,60),"00")</x:f>
        <x:v>00:00</x:v>
      </x:c>
      <x:c r="W383" t="n">
        <x:f>IF(S383&gt;0,1,0)</x:f>
        <x:v>0</x:v>
      </x:c>
    </x:row>
    <x:row r="384" ht="21" customHeight="1">
      <x:c r="A384" s="83" t="n">
        <x:v>46161</x:v>
      </x:c>
      <x:c r="B384" t="str">
        <x:v>terça-feira</x:v>
      </x:c>
      <x:c r="C384" s="85" t="n">
        <x:v>0.5375</x:v>
      </x:c>
      <x:c r="D384" s="85" t="n">
        <x:v>0.6701388888888888</x:v>
      </x:c>
      <x:c r="E384" s="85" t="n">
        <x:v>0.7090277777777778</x:v>
      </x:c>
      <x:c r="F384" s="85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  <x:c r="S384" t="n">
        <x:v>0</x:v>
      </x:c>
      <x:c r="T384" t="str">
        <x:f>TEXT(INT(S384/60),"00")&amp;":"&amp;TEXT(MOD(S384,60),"00")</x:f>
        <x:v>00:00</x:v>
      </x:c>
      <x:c r="W384" t="n">
        <x:f>IF(S384&gt;0,1,0)</x:f>
        <x:v>0</x:v>
      </x:c>
    </x:row>
    <x:row r="385" ht="21" customHeight="1">
      <x:c r="A385" s="83" t="n">
        <x:v>46162</x:v>
      </x:c>
      <x:c r="B385" t="str">
        <x:v>quarta-feira</x:v>
      </x:c>
      <x:c r="C385" s="85" t="n">
        <x:v>0.5458333333333333</x:v>
      </x:c>
      <x:c r="D385" s="85" t="n">
        <x:v>0.6701388888888888</x:v>
      </x:c>
      <x:c r="E385" s="85" t="n">
        <x:v>0.7097222222222223</x:v>
      </x:c>
      <x:c r="F385" s="85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  <x:c r="S385" t="n">
        <x:v>0</x:v>
      </x:c>
      <x:c r="T385" t="str">
        <x:f>TEXT(INT(S385/60),"00")&amp;":"&amp;TEXT(MOD(S385,60),"00")</x:f>
        <x:v>00:00</x:v>
      </x:c>
      <x:c r="W385" t="n">
        <x:f>IF(S385&gt;0,1,0)</x:f>
        <x:v>0</x:v>
      </x:c>
    </x:row>
    <x:row r="386" ht="21" customHeight="1">
      <x:c r="A386" s="83" t="n">
        <x:v>46163</x:v>
      </x:c>
      <x:c r="B386" t="str">
        <x:v>quinta-feira</x:v>
      </x:c>
      <x:c r="C386" s="85" t="n">
        <x:v>0.54375</x:v>
      </x:c>
      <x:c r="D386" s="85" t="n">
        <x:v>0.6736111111111112</x:v>
      </x:c>
      <x:c r="E386" s="85" t="n">
        <x:v>0.7173611111111111</x:v>
      </x:c>
      <x:c r="F386" s="85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  <x:c r="S386" t="n">
        <x:v>0</x:v>
      </x:c>
      <x:c r="T386" t="str">
        <x:f>TEXT(INT(S386/60),"00")&amp;":"&amp;TEXT(MOD(S386,60),"00")</x:f>
        <x:v>00:00</x:v>
      </x:c>
      <x:c r="W386" t="n">
        <x:f>IF(S386&gt;0,1,0)</x:f>
        <x:v>0</x:v>
      </x:c>
    </x:row>
    <x:row r="387" ht="21" customHeight="1">
      <x:c r="A387" s="83" t="n">
        <x:v>46164</x:v>
      </x:c>
      <x:c r="B387" t="str">
        <x:v>sexta-feira</x:v>
      </x:c>
      <x:c r="C387" s="85" t="n">
        <x:v>0.5395833333333333</x:v>
      </x:c>
      <x:c r="D387" s="85" t="n">
        <x:v>0.6791666666666667</x:v>
      </x:c>
      <x:c r="E387" s="85" t="n">
        <x:v>0.7215277777777778</x:v>
      </x:c>
      <x:c r="F387" s="85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  <x:c r="S387" t="n">
        <x:v>0</x:v>
      </x:c>
      <x:c r="T387" t="str">
        <x:f>TEXT(INT(S387/60),"00")&amp;":"&amp;TEXT(MOD(S387,60),"00")</x:f>
        <x:v>00:00</x:v>
      </x:c>
      <x:c r="W387" t="n">
        <x:f>IF(S387&gt;0,1,0)</x:f>
        <x:v>0</x:v>
      </x:c>
    </x:row>
    <x:row r="388" ht="21" customHeight="1">
      <x:c r="A388" s="83" t="n">
        <x:v>46165</x:v>
      </x:c>
      <x:c r="B388" t="str">
        <x:v>sábado</x:v>
      </x:c>
      <x:c r="C388" s="85" t="n">
        <x:v>0.5472222222222223</x:v>
      </x:c>
      <x:c r="D388" s="85"/>
      <x:c r="E388" s="85"/>
      <x:c r="F388" s="85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  <x:c r="S388" t="n">
        <x:v>0</x:v>
      </x:c>
      <x:c r="T388" t="str">
        <x:f>TEXT(INT(S388/60),"00")&amp;":"&amp;TEXT(MOD(S388,60),"00")</x:f>
        <x:v>00:00</x:v>
      </x:c>
      <x:c r="W388" t="n">
        <x:f>IF(S388&gt;0,1,0)</x:f>
        <x:v>0</x:v>
      </x:c>
    </x:row>
    <x:row r="389" ht="21" customHeight="1">
      <x:c r="A389" s="83" t="n">
        <x:v>46167</x:v>
      </x:c>
      <x:c r="B389" t="str">
        <x:v>segunda-feira</x:v>
      </x:c>
      <x:c r="C389" s="85" t="n">
        <x:v>0.5472222222222223</x:v>
      </x:c>
      <x:c r="D389" s="85" t="n">
        <x:v>0.6708333333333333</x:v>
      </x:c>
      <x:c r="E389" s="85" t="n">
        <x:v>0.7104166666666667</x:v>
      </x:c>
      <x:c r="F389" s="85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  <x:c r="S389" t="n">
        <x:v>0</x:v>
      </x:c>
      <x:c r="T389" t="str">
        <x:f>TEXT(INT(S389/60),"00")&amp;":"&amp;TEXT(MOD(S389,60),"00")</x:f>
        <x:v>00:00</x:v>
      </x:c>
      <x:c r="W389" t="n">
        <x:f>IF(S389&gt;0,1,0)</x:f>
        <x:v>0</x:v>
      </x:c>
    </x:row>
    <x:row r="390" ht="21" customHeight="1">
      <x:c r="A390" s="83" t="n">
        <x:v>46168</x:v>
      </x:c>
      <x:c r="B390" t="str">
        <x:v>terça-feira</x:v>
      </x:c>
      <x:c r="C390" s="85" t="n">
        <x:v>0.54375</x:v>
      </x:c>
      <x:c r="D390" s="85" t="n">
        <x:v>0.6756944444444445</x:v>
      </x:c>
      <x:c r="E390" s="85" t="n">
        <x:v>0.7194444444444444</x:v>
      </x:c>
      <x:c r="F390" s="85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  <x:c r="S390" t="n">
        <x:v>0</x:v>
      </x:c>
      <x:c r="T390" t="str">
        <x:f>TEXT(INT(S390/60),"00")&amp;":"&amp;TEXT(MOD(S390,60),"00")</x:f>
        <x:v>00:00</x:v>
      </x:c>
      <x:c r="W390" t="n">
        <x:f>IF(S390&gt;0,1,0)</x:f>
        <x:v>0</x:v>
      </x:c>
    </x:row>
    <x:row r="391" ht="21" customHeight="1">
      <x:c r="A391" s="83" t="n">
        <x:v>46169</x:v>
      </x:c>
      <x:c r="B391" t="str">
        <x:v>quarta-feira</x:v>
      </x:c>
      <x:c r="C391" s="85" t="n">
        <x:v>0.5381944444444444</x:v>
      </x:c>
      <x:c r="D391" s="85" t="n">
        <x:v>0.6708333333333333</x:v>
      </x:c>
      <x:c r="E391" s="85" t="n">
        <x:v>0.7111111111111111</x:v>
      </x:c>
      <x:c r="F391" s="85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  <x:c r="S391" t="n">
        <x:v>0</x:v>
      </x:c>
      <x:c r="T391" t="str">
        <x:f>TEXT(INT(S391/60),"00")&amp;":"&amp;TEXT(MOD(S391,60),"00")</x:f>
        <x:v>00:00</x:v>
      </x:c>
      <x:c r="W391" t="n">
        <x:f>IF(S391&gt;0,1,0)</x:f>
        <x:v>0</x:v>
      </x:c>
    </x:row>
    <x:row r="392" ht="21" customHeight="1">
      <x:c r="A392" s="83" t="n">
        <x:v>46170</x:v>
      </x:c>
      <x:c r="B392" t="str">
        <x:v>quinta-feira</x:v>
      </x:c>
      <x:c r="C392" s="85" t="n">
        <x:v>0.5381944444444444</x:v>
      </x:c>
      <x:c r="D392" s="85" t="n">
        <x:v>0.6680555555555555</x:v>
      </x:c>
      <x:c r="E392" s="85" t="n">
        <x:v>0.7083333333333334</x:v>
      </x:c>
      <x:c r="F392" s="85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  <x:c r="S392" t="n">
        <x:v>0</x:v>
      </x:c>
      <x:c r="T392" t="str">
        <x:f>TEXT(INT(S392/60),"00")&amp;":"&amp;TEXT(MOD(S392,60),"00")</x:f>
        <x:v>00:00</x:v>
      </x:c>
      <x:c r="W392" t="n">
        <x:f>IF(S392&gt;0,1,0)</x:f>
        <x:v>0</x:v>
      </x:c>
    </x:row>
    <x:row r="393" ht="21" customHeight="1">
      <x:c r="A393" s="83" t="n">
        <x:v>46171</x:v>
      </x:c>
      <x:c r="B393" t="str">
        <x:v>sexta-feira</x:v>
      </x:c>
      <x:c r="C393" s="85" t="n">
        <x:v>0.5395833333333333</x:v>
      </x:c>
      <x:c r="D393" s="85" t="n">
        <x:v>0.6673611111111111</x:v>
      </x:c>
      <x:c r="E393" s="85" t="n">
        <x:v>0.7097222222222223</x:v>
      </x:c>
      <x:c r="F393" s="85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  <x:c r="S393" t="n">
        <x:v>0</x:v>
      </x:c>
      <x:c r="T393" t="str">
        <x:f>TEXT(INT(S393/60),"00")&amp;":"&amp;TEXT(MOD(S393,60),"00")</x:f>
        <x:v>00:00</x:v>
      </x:c>
      <x:c r="W393" t="n">
        <x:f>IF(S393&gt;0,1,0)</x:f>
        <x:v>0</x:v>
      </x:c>
    </x:row>
    <x:row r="394" ht="21" customHeight="1">
      <x:c r="A394" s="83" t="n">
        <x:v>46172</x:v>
      </x:c>
      <x:c r="B394" t="str">
        <x:v>sábado</x:v>
      </x:c>
      <x:c r="C394" s="85" t="n">
        <x:v>0.5430555555555555</x:v>
      </x:c>
      <x:c r="D394" s="85"/>
      <x:c r="E394" s="85"/>
      <x:c r="F394" s="85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  <x:c r="S394" t="n">
        <x:v>0</x:v>
      </x:c>
      <x:c r="T394" t="str">
        <x:f>TEXT(INT(S394/60),"00")&amp;":"&amp;TEXT(MOD(S394,60),"00")</x:f>
        <x:v>00:00</x:v>
      </x:c>
      <x:c r="W394" t="n">
        <x:f>IF(S394&gt;0,1,0)</x:f>
        <x:v>0</x:v>
      </x:c>
    </x:row>
    <x:row r="395" ht="21" customHeight="1">
      <x:c r="A395" s="83" t="n">
        <x:v>46174</x:v>
      </x:c>
      <x:c r="B395" t="str">
        <x:v>segunda-feira</x:v>
      </x:c>
      <x:c r="C395" s="85" t="n">
        <x:v>0.5402777777777777</x:v>
      </x:c>
      <x:c r="D395" s="85" t="n">
        <x:v>0.6763888888888889</x:v>
      </x:c>
      <x:c r="E395" s="85" t="n">
        <x:v>0.7201388888888889</x:v>
      </x:c>
      <x:c r="F395" s="85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  <x:c r="S395" t="n">
        <x:v>0</x:v>
      </x:c>
      <x:c r="T395" t="str">
        <x:f>TEXT(INT(S395/60),"00")&amp;":"&amp;TEXT(MOD(S395,60),"00")</x:f>
        <x:v>00:00</x:v>
      </x:c>
      <x:c r="W395" t="n">
        <x:f>IF(S395&gt;0,1,0)</x:f>
        <x:v>0</x:v>
      </x:c>
    </x:row>
    <x:row r="396" ht="21" customHeight="1">
      <x:c r="A396" s="83" t="n">
        <x:v>46175</x:v>
      </x:c>
      <x:c r="B396" t="str">
        <x:v>terça-feira</x:v>
      </x:c>
      <x:c r="C396" s="85" t="n">
        <x:v>0.5402777777777777</x:v>
      </x:c>
      <x:c r="D396" s="85" t="n">
        <x:v>0.6701388888888888</x:v>
      </x:c>
      <x:c r="E396" s="85" t="n">
        <x:v>0.7111111111111111</x:v>
      </x:c>
      <x:c r="F396" s="85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  <x:c r="S396" t="n">
        <x:v>0</x:v>
      </x:c>
      <x:c r="T396" t="str">
        <x:f>TEXT(INT(S396/60),"00")&amp;":"&amp;TEXT(MOD(S396,60),"00")</x:f>
        <x:v>00:00</x:v>
      </x:c>
      <x:c r="W396" t="n">
        <x:f>IF(S396&gt;0,1,0)</x:f>
        <x:v>0</x:v>
      </x:c>
    </x:row>
    <x:row r="397" ht="21" customHeight="1">
      <x:c r="A397" s="83" t="n">
        <x:v>46176</x:v>
      </x:c>
      <x:c r="B397" t="str">
        <x:v>quarta-feira</x:v>
      </x:c>
      <x:c r="C397" s="85" t="n">
        <x:v>0.5388888888888889</x:v>
      </x:c>
      <x:c r="D397" s="85" t="n">
        <x:v>0.6736111111111112</x:v>
      </x:c>
      <x:c r="E397" s="85" t="n">
        <x:v>0.7159722222222222</x:v>
      </x:c>
      <x:c r="F397" s="85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  <x:c r="S397" t="n">
        <x:v>0</x:v>
      </x:c>
      <x:c r="T397" t="str">
        <x:f>TEXT(INT(S397/60),"00")&amp;":"&amp;TEXT(MOD(S397,60),"00")</x:f>
        <x:v>00:00</x:v>
      </x:c>
      <x:c r="W397" t="n">
        <x:f>IF(S397&gt;0,1,0)</x:f>
        <x:v>0</x:v>
      </x:c>
    </x:row>
    <x:row r="398" ht="21" customHeight="1">
      <x:c r="A398" s="83" t="n">
        <x:v>46177</x:v>
      </x:c>
      <x:c r="B398" t="str">
        <x:v>quinta-feira</x:v>
      </x:c>
      <x:c r="C398" s="85" t="n">
        <x:v>0.5444444444444444</x:v>
      </x:c>
      <x:c r="D398" s="85" t="n">
        <x:v>0.6743055555555556</x:v>
      </x:c>
      <x:c r="E398" s="85" t="n">
        <x:v>0.7180555555555556</x:v>
      </x:c>
      <x:c r="F398" s="85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  <x:c r="S398" t="n">
        <x:v>0</x:v>
      </x:c>
      <x:c r="T398" t="str">
        <x:f>TEXT(INT(S398/60),"00")&amp;":"&amp;TEXT(MOD(S398,60),"00")</x:f>
        <x:v>00:00</x:v>
      </x:c>
      <x:c r="W398" t="n">
        <x:f>IF(S398&gt;0,1,0)</x:f>
        <x:v>0</x:v>
      </x:c>
    </x:row>
    <x:row r="399" ht="21" customHeight="1">
      <x:c r="A399" s="83" t="n">
        <x:v>46178</x:v>
      </x:c>
      <x:c r="B399" t="str">
        <x:v>sexta-feira</x:v>
      </x:c>
      <x:c r="C399" s="85" t="n">
        <x:v>0.5472222222222223</x:v>
      </x:c>
      <x:c r="D399" s="85" t="n">
        <x:v>0.6673611111111111</x:v>
      </x:c>
      <x:c r="E399" s="85" t="n">
        <x:v>0.7069444444444445</x:v>
      </x:c>
      <x:c r="F399" s="85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  <x:c r="S399" t="n">
        <x:v>0</x:v>
      </x:c>
      <x:c r="T399" t="str">
        <x:f>TEXT(INT(S399/60),"00")&amp;":"&amp;TEXT(MOD(S399,60),"00")</x:f>
        <x:v>00:00</x:v>
      </x:c>
      <x:c r="W399" t="n">
        <x:f>IF(S399&gt;0,1,0)</x:f>
        <x:v>0</x:v>
      </x:c>
    </x:row>
    <x:row r="400" ht="21" customHeight="1">
      <x:c r="A400" s="83" t="n">
        <x:v>46179</x:v>
      </x:c>
      <x:c r="B400" t="str">
        <x:v>sábado</x:v>
      </x:c>
      <x:c r="C400" s="85" t="n">
        <x:v>0.5451388888888888</x:v>
      </x:c>
      <x:c r="D400" s="85"/>
      <x:c r="E400" s="85"/>
      <x:c r="F400" s="85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  <x:c r="S400" t="n">
        <x:v>0</x:v>
      </x:c>
      <x:c r="T400" t="str">
        <x:f>TEXT(INT(S400/60),"00")&amp;":"&amp;TEXT(MOD(S400,60),"00")</x:f>
        <x:v>00:00</x:v>
      </x:c>
      <x:c r="W400" t="n">
        <x:f>IF(S400&gt;0,1,0)</x:f>
        <x:v>0</x:v>
      </x:c>
    </x:row>
    <x:row r="401" ht="21" customHeight="1">
      <x:c r="A401" s="83" t="n">
        <x:v>46181</x:v>
      </x:c>
      <x:c r="B401" t="str">
        <x:v>segunda-feira</x:v>
      </x:c>
      <x:c r="C401" s="85" t="n">
        <x:v>0.5423611111111111</x:v>
      </x:c>
      <x:c r="D401" s="85" t="n">
        <x:v>0.6673611111111111</x:v>
      </x:c>
      <x:c r="E401" s="85" t="n">
        <x:v>0.7090277777777778</x:v>
      </x:c>
      <x:c r="F401" s="85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  <x:c r="S401" t="n">
        <x:v>0</x:v>
      </x:c>
      <x:c r="T401" t="str">
        <x:f>TEXT(INT(S401/60),"00")&amp;":"&amp;TEXT(MOD(S401,60),"00")</x:f>
        <x:v>00:00</x:v>
      </x:c>
      <x:c r="W401" t="n">
        <x:f>IF(S401&gt;0,1,0)</x:f>
        <x:v>0</x:v>
      </x:c>
    </x:row>
    <x:row r="402" ht="21" customHeight="1">
      <x:c r="A402" s="83" t="n">
        <x:v>46182</x:v>
      </x:c>
      <x:c r="B402" t="str">
        <x:v>terça-feira</x:v>
      </x:c>
      <x:c r="C402" s="85" t="n">
        <x:v>0.5444444444444444</x:v>
      </x:c>
      <x:c r="D402" s="85" t="n">
        <x:v>0.6840277777777778</x:v>
      </x:c>
      <x:c r="E402" s="85" t="n">
        <x:v>0.7222222222222222</x:v>
      </x:c>
      <x:c r="F402" s="85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  <x:c r="S402" t="n">
        <x:v>0</x:v>
      </x:c>
      <x:c r="T402" t="str">
        <x:f>TEXT(INT(S402/60),"00")&amp;":"&amp;TEXT(MOD(S402,60),"00")</x:f>
        <x:v>00:00</x:v>
      </x:c>
      <x:c r="W402" t="n">
        <x:f>IF(S402&gt;0,1,0)</x:f>
        <x:v>0</x:v>
      </x:c>
    </x:row>
    <x:row r="403" ht="21" customHeight="1">
      <x:c r="A403" s="83" t="n">
        <x:v>46183</x:v>
      </x:c>
      <x:c r="B403" t="str">
        <x:v>quarta-feira</x:v>
      </x:c>
      <x:c r="C403" s="85" t="n">
        <x:v>0.5430555555555555</x:v>
      </x:c>
      <x:c r="D403" s="85" t="n">
        <x:v>0.6756944444444445</x:v>
      </x:c>
      <x:c r="E403" s="85" t="n">
        <x:v>0.7173611111111111</x:v>
      </x:c>
      <x:c r="F403" s="85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  <x:c r="S403" t="n">
        <x:v>0</x:v>
      </x:c>
      <x:c r="T403" t="str">
        <x:f>TEXT(INT(S403/60),"00")&amp;":"&amp;TEXT(MOD(S403,60),"00")</x:f>
        <x:v>00:00</x:v>
      </x:c>
      <x:c r="W403" t="n">
        <x:f>IF(S403&gt;0,1,0)</x:f>
        <x:v>0</x:v>
      </x:c>
    </x:row>
    <x:row r="404" ht="21" customHeight="1">
      <x:c r="A404" s="83" t="n">
        <x:v>46184</x:v>
      </x:c>
      <x:c r="B404" t="str">
        <x:v>quinta-feira</x:v>
      </x:c>
      <x:c r="C404" s="85" t="n">
        <x:v>0.5416666666666666</x:v>
      </x:c>
      <x:c r="D404" s="85" t="n">
        <x:v>0.6666666666666666</x:v>
      </x:c>
      <x:c r="E404" s="85" t="n">
        <x:v>0.7090277777777778</x:v>
      </x:c>
      <x:c r="F404" s="85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  <x:c r="S404" t="n">
        <x:v>0</x:v>
      </x:c>
      <x:c r="T404" t="str">
        <x:f>TEXT(INT(S404/60),"00")&amp;":"&amp;TEXT(MOD(S404,60),"00")</x:f>
        <x:v>00:00</x:v>
      </x:c>
      <x:c r="W404" t="n">
        <x:f>IF(S404&gt;0,1,0)</x:f>
        <x:v>0</x:v>
      </x:c>
    </x:row>
    <x:row r="405" ht="21" customHeight="1">
      <x:c r="A405" s="83" t="n">
        <x:v>46185</x:v>
      </x:c>
      <x:c r="B405" t="str">
        <x:v>sexta-feira</x:v>
      </x:c>
      <x:c r="C405" s="85" t="n">
        <x:v>0.5402777777777777</x:v>
      </x:c>
      <x:c r="D405" s="85" t="n">
        <x:v>0.6770833333333334</x:v>
      </x:c>
      <x:c r="E405" s="85" t="n">
        <x:v>0.7173611111111111</x:v>
      </x:c>
      <x:c r="F405" s="85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  <x:c r="S405" t="n">
        <x:v>0</x:v>
      </x:c>
      <x:c r="T405" t="str">
        <x:f>TEXT(INT(S405/60),"00")&amp;":"&amp;TEXT(MOD(S405,60),"00")</x:f>
        <x:v>00:00</x:v>
      </x:c>
      <x:c r="W405" t="n">
        <x:f>IF(S405&gt;0,1,0)</x:f>
        <x:v>0</x:v>
      </x:c>
    </x:row>
    <x:row r="406" ht="21" customHeight="1">
      <x:c r="A406" s="83" t="n">
        <x:v>46186</x:v>
      </x:c>
      <x:c r="B406" t="str">
        <x:v>sábado</x:v>
      </x:c>
      <x:c r="C406" s="85" t="n">
        <x:v>0.5409722222222222</x:v>
      </x:c>
      <x:c r="D406" s="85"/>
      <x:c r="E406" s="85"/>
      <x:c r="F406" s="85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  <x:c r="S406" t="n">
        <x:v>0</x:v>
      </x:c>
      <x:c r="T406" t="str">
        <x:f>TEXT(INT(S406/60),"00")&amp;":"&amp;TEXT(MOD(S406,60),"00")</x:f>
        <x:v>00:00</x:v>
      </x:c>
      <x:c r="W406" t="n">
        <x:f>IF(S406&gt;0,1,0)</x:f>
        <x:v>0</x:v>
      </x:c>
    </x:row>
    <x:row r="407" ht="21" customHeight="1">
      <x:c r="A407" s="83" t="n">
        <x:v>46188</x:v>
      </x:c>
      <x:c r="B407" t="str">
        <x:v>segunda-feira</x:v>
      </x:c>
      <x:c r="C407" s="85" t="n">
        <x:v>0.5423611111111111</x:v>
      </x:c>
      <x:c r="D407" s="85" t="n">
        <x:v>0.6784722222222223</x:v>
      </x:c>
      <x:c r="E407" s="85" t="n">
        <x:v>0.7180555555555556</x:v>
      </x:c>
      <x:c r="F407" s="85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  <x:c r="S407" t="n">
        <x:v>0</x:v>
      </x:c>
      <x:c r="T407" t="str">
        <x:f>TEXT(INT(S407/60),"00")&amp;":"&amp;TEXT(MOD(S407,60),"00")</x:f>
        <x:v>00:00</x:v>
      </x:c>
      <x:c r="W407" t="n">
        <x:f>IF(S407&gt;0,1,0)</x:f>
        <x:v>0</x:v>
      </x:c>
    </x:row>
    <x:row r="408" ht="21" customHeight="1">
      <x:c r="A408" s="83" t="n">
        <x:v>46189</x:v>
      </x:c>
      <x:c r="B408" t="str">
        <x:v>terça-feira</x:v>
      </x:c>
      <x:c r="C408" s="85" t="n">
        <x:v>0.5472222222222223</x:v>
      </x:c>
      <x:c r="D408" s="85" t="n">
        <x:v>0.6715277777777777</x:v>
      </x:c>
      <x:c r="E408" s="85" t="n">
        <x:v>0.7131944444444445</x:v>
      </x:c>
      <x:c r="F408" s="85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  <x:c r="S408" t="n">
        <x:v>0</x:v>
      </x:c>
      <x:c r="T408" t="str">
        <x:f>TEXT(INT(S408/60),"00")&amp;":"&amp;TEXT(MOD(S408,60),"00")</x:f>
        <x:v>00:00</x:v>
      </x:c>
      <x:c r="W408" t="n">
        <x:f>IF(S408&gt;0,1,0)</x:f>
        <x:v>0</x:v>
      </x:c>
    </x:row>
    <x:row r="409" ht="21" customHeight="1">
      <x:c r="A409" s="83" t="n">
        <x:v>46190</x:v>
      </x:c>
      <x:c r="B409" t="str">
        <x:v>quarta-feira</x:v>
      </x:c>
      <x:c r="C409" s="85" t="n">
        <x:v>0.5409722222222222</x:v>
      </x:c>
      <x:c r="D409" s="85" t="n">
        <x:v>0.6666666666666666</x:v>
      </x:c>
      <x:c r="E409" s="85" t="n">
        <x:v>0.70625</x:v>
      </x:c>
      <x:c r="F409" s="85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  <x:c r="S409" t="n">
        <x:v>0</x:v>
      </x:c>
      <x:c r="T409" t="str">
        <x:f>TEXT(INT(S409/60),"00")&amp;":"&amp;TEXT(MOD(S409,60),"00")</x:f>
        <x:v>00:00</x:v>
      </x:c>
      <x:c r="W409" t="n">
        <x:f>IF(S409&gt;0,1,0)</x:f>
        <x:v>0</x:v>
      </x:c>
    </x:row>
    <x:row r="410" ht="21" customHeight="1">
      <x:c r="A410" s="83" t="n">
        <x:v>46191</x:v>
      </x:c>
      <x:c r="B410" t="str">
        <x:v>quinta-feira</x:v>
      </x:c>
      <x:c r="C410" s="85" t="n">
        <x:v>0.54375</x:v>
      </x:c>
      <x:c r="D410" s="85" t="n">
        <x:v>0.6909722222222222</x:v>
      </x:c>
      <x:c r="E410" s="85" t="n">
        <x:v>0.7354166666666667</x:v>
      </x:c>
      <x:c r="F410" s="85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  <x:c r="S410" t="n">
        <x:v>0</x:v>
      </x:c>
      <x:c r="T410" t="str">
        <x:f>TEXT(INT(S410/60),"00")&amp;":"&amp;TEXT(MOD(S410,60),"00")</x:f>
        <x:v>00:00</x:v>
      </x:c>
      <x:c r="W410" t="n">
        <x:f>IF(S410&gt;0,1,0)</x:f>
        <x:v>0</x:v>
      </x:c>
    </x:row>
    <x:row r="411" ht="21" customHeight="1">
      <x:c r="A411" s="83" t="n">
        <x:v>46192</x:v>
      </x:c>
      <x:c r="B411" t="str">
        <x:v>sexta-feira</x:v>
      </x:c>
      <x:c r="C411" s="85" t="n">
        <x:v>0.5416666666666666</x:v>
      </x:c>
      <x:c r="D411" s="85" t="n">
        <x:v>0.6784722222222223</x:v>
      </x:c>
      <x:c r="E411" s="85" t="n">
        <x:v>0.7194444444444444</x:v>
      </x:c>
      <x:c r="F411" s="85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  <x:c r="S411" t="n">
        <x:v>0</x:v>
      </x:c>
      <x:c r="T411" t="str">
        <x:f>TEXT(INT(S411/60),"00")&amp;":"&amp;TEXT(MOD(S411,60),"00")</x:f>
        <x:v>00:00</x:v>
      </x:c>
      <x:c r="W411" t="n">
        <x:f>IF(S411&gt;0,1,0)</x:f>
        <x:v>0</x:v>
      </x:c>
    </x:row>
    <x:row r="412" ht="21" customHeight="1">
      <x:c r="A412" s="83" t="n">
        <x:v>46193</x:v>
      </x:c>
      <x:c r="B412" t="str">
        <x:v>sábado</x:v>
      </x:c>
      <x:c r="C412" s="85" t="n">
        <x:v>0.5402777777777777</x:v>
      </x:c>
      <x:c r="D412" s="85" t="n">
        <x:v>0.6597222222222222</x:v>
      </x:c>
      <x:c r="E412" s="85" t="n">
        <x:v>0.6701388888888888</x:v>
      </x:c>
      <x:c r="F412" s="85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  <x:c r="S412" t="n">
        <x:v>0</x:v>
      </x:c>
      <x:c r="T412" t="str">
        <x:f>TEXT(INT(S412/60),"00")&amp;":"&amp;TEXT(MOD(S412,60),"00")</x:f>
        <x:v>00:00</x:v>
      </x:c>
      <x:c r="W412" t="n">
        <x:f>IF(S412&gt;0,1,0)</x:f>
        <x:v>0</x:v>
      </x:c>
    </x:row>
    <x:row r="413" ht="21" customHeight="1">
      <x:c r="A413" s="83" t="n">
        <x:v>46195</x:v>
      </x:c>
      <x:c r="B413" t="str">
        <x:v>segunda-feira</x:v>
      </x:c>
      <x:c r="C413" s="85" t="n">
        <x:v>0.5472222222222223</x:v>
      </x:c>
      <x:c r="D413" s="85" t="n">
        <x:v>0.675</x:v>
      </x:c>
      <x:c r="E413" s="85" t="n">
        <x:v>0.7173611111111111</x:v>
      </x:c>
      <x:c r="F413" s="85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  <x:c r="S413" t="n">
        <x:v>0</x:v>
      </x:c>
      <x:c r="T413" t="str">
        <x:f>TEXT(INT(S413/60),"00")&amp;":"&amp;TEXT(MOD(S413,60),"00")</x:f>
        <x:v>00:00</x:v>
      </x:c>
      <x:c r="W413" t="n">
        <x:f>IF(S413&gt;0,1,0)</x:f>
        <x:v>0</x:v>
      </x:c>
    </x:row>
    <x:row r="414" ht="21" customHeight="1">
      <x:c r="A414" s="83" t="n">
        <x:v>46196</x:v>
      </x:c>
      <x:c r="B414" t="str">
        <x:v>terça-feira</x:v>
      </x:c>
      <x:c r="C414" s="85" t="n">
        <x:v>0.5402777777777777</x:v>
      </x:c>
      <x:c r="D414" s="85" t="n">
        <x:v>0.6777777777777778</x:v>
      </x:c>
      <x:c r="E414" s="85" t="n">
        <x:v>0.7222222222222222</x:v>
      </x:c>
      <x:c r="F414" s="85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  <x:c r="S414" t="n">
        <x:v>0</x:v>
      </x:c>
      <x:c r="T414" t="str">
        <x:f>TEXT(INT(S414/60),"00")&amp;":"&amp;TEXT(MOD(S414,60),"00")</x:f>
        <x:v>00:00</x:v>
      </x:c>
      <x:c r="W414" t="n">
        <x:f>IF(S414&gt;0,1,0)</x:f>
        <x:v>0</x:v>
      </x:c>
    </x:row>
    <x:row r="415" ht="21" customHeight="1">
      <x:c r="A415" s="83" t="n">
        <x:v>46197</x:v>
      </x:c>
      <x:c r="B415" t="str">
        <x:v>quarta-feira</x:v>
      </x:c>
      <x:c r="C415" s="85" t="n">
        <x:v>0.5402777777777777</x:v>
      </x:c>
      <x:c r="D415" s="85" t="n">
        <x:v>0.6756944444444445</x:v>
      </x:c>
      <x:c r="E415" s="85" t="n">
        <x:v>0.7145833333333333</x:v>
      </x:c>
      <x:c r="F415" s="85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  <x:c r="S415" t="n">
        <x:v>0</x:v>
      </x:c>
      <x:c r="T415" t="str">
        <x:f>TEXT(INT(S415/60),"00")&amp;":"&amp;TEXT(MOD(S415,60),"00")</x:f>
        <x:v>00:00</x:v>
      </x:c>
      <x:c r="W415" t="n">
        <x:f>IF(S415&gt;0,1,0)</x:f>
        <x:v>0</x:v>
      </x:c>
    </x:row>
    <x:row r="416" ht="21" customHeight="1">
      <x:c r="A416" s="83" t="n">
        <x:v>46198</x:v>
      </x:c>
      <x:c r="B416" t="str">
        <x:v>quinta-feira</x:v>
      </x:c>
      <x:c r="C416" s="85" t="n">
        <x:v>0.5465277777777777</x:v>
      </x:c>
      <x:c r="D416" s="85" t="n">
        <x:v>0.6770833333333334</x:v>
      </x:c>
      <x:c r="E416" s="85" t="n">
        <x:v>0.7173611111111111</x:v>
      </x:c>
      <x:c r="F416" s="85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  <x:c r="S416" t="n">
        <x:v>0</x:v>
      </x:c>
      <x:c r="T416" t="str">
        <x:f>TEXT(INT(S416/60),"00")&amp;":"&amp;TEXT(MOD(S416,60),"00")</x:f>
        <x:v>00:00</x:v>
      </x:c>
      <x:c r="W416" t="n">
        <x:f>IF(S416&gt;0,1,0)</x:f>
        <x:v>0</x:v>
      </x:c>
    </x:row>
    <x:row r="417" ht="21" customHeight="1">
      <x:c r="A417" s="83" t="n">
        <x:v>46199</x:v>
      </x:c>
      <x:c r="B417" t="str">
        <x:v>sexta-feira</x:v>
      </x:c>
      <x:c r="C417" s="85" t="n">
        <x:v>0.5375</x:v>
      </x:c>
      <x:c r="D417" s="85" t="n">
        <x:v>0.6708333333333333</x:v>
      </x:c>
      <x:c r="E417" s="85" t="n">
        <x:v>0.7131944444444445</x:v>
      </x:c>
      <x:c r="F417" s="85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  <x:c r="S417" t="n">
        <x:v>0</x:v>
      </x:c>
      <x:c r="T417" t="str">
        <x:f>TEXT(INT(S417/60),"00")&amp;":"&amp;TEXT(MOD(S417,60),"00")</x:f>
        <x:v>00:00</x:v>
      </x:c>
      <x:c r="W417" t="n">
        <x:f>IF(S417&gt;0,1,0)</x:f>
        <x:v>0</x:v>
      </x:c>
    </x:row>
    <x:row r="418" ht="21" customHeight="1">
      <x:c r="A418" s="83" t="n">
        <x:v>46200</x:v>
      </x:c>
      <x:c r="B418" t="str">
        <x:v>sábado</x:v>
      </x:c>
      <x:c r="C418" s="85" t="n">
        <x:v>0.5416666666666666</x:v>
      </x:c>
      <x:c r="D418" s="85" t="n">
        <x:v>0.6666666666666666</x:v>
      </x:c>
      <x:c r="E418" s="85" t="n">
        <x:v>0.6770833333333334</x:v>
      </x:c>
      <x:c r="F418" s="85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  <x:c r="S418" t="n">
        <x:v>0</x:v>
      </x:c>
      <x:c r="T418" t="str">
        <x:f>TEXT(INT(S418/60),"00")&amp;":"&amp;TEXT(MOD(S418,60),"00")</x:f>
        <x:v>00:00</x:v>
      </x:c>
      <x:c r="W418" t="n">
        <x:f>IF(S418&gt;0,1,0)</x:f>
        <x:v>0</x:v>
      </x:c>
    </x:row>
    <x:row r="419" ht="21" customHeight="1">
      <x:c r="A419" s="83" t="n">
        <x:v>46202</x:v>
      </x:c>
      <x:c r="B419" t="str">
        <x:v>segunda-feira</x:v>
      </x:c>
      <x:c r="C419" s="85" t="n">
        <x:v>0.5388888888888889</x:v>
      </x:c>
      <x:c r="D419" s="85" t="n">
        <x:v>0.6729166666666667</x:v>
      </x:c>
      <x:c r="E419" s="85" t="n">
        <x:v>0.7166666666666667</x:v>
      </x:c>
      <x:c r="F419" s="85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  <x:c r="S419" t="n">
        <x:v>0</x:v>
      </x:c>
      <x:c r="T419" t="str">
        <x:f>TEXT(INT(S419/60),"00")&amp;":"&amp;TEXT(MOD(S419,60),"00")</x:f>
        <x:v>00:00</x:v>
      </x:c>
      <x:c r="W419" t="n">
        <x:f>IF(S419&gt;0,1,0)</x:f>
        <x:v>0</x:v>
      </x:c>
    </x:row>
    <x:row r="420" ht="21" customHeight="1">
      <x:c r="A420" s="83" t="n">
        <x:v>46203</x:v>
      </x:c>
      <x:c r="B420" t="str">
        <x:v>terça-feira</x:v>
      </x:c>
      <x:c r="C420" s="85" t="n">
        <x:v>0.5472222222222223</x:v>
      </x:c>
      <x:c r="D420" s="85" t="n">
        <x:v>0.6777777777777778</x:v>
      </x:c>
      <x:c r="E420" s="85" t="n">
        <x:v>0.71875</x:v>
      </x:c>
      <x:c r="F420" s="85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  <x:c r="S420" t="n">
        <x:v>0</x:v>
      </x:c>
      <x:c r="T420" t="str">
        <x:f>TEXT(INT(S420/60),"00")&amp;":"&amp;TEXT(MOD(S420,60),"00")</x:f>
        <x:v>00:00</x:v>
      </x:c>
      <x:c r="W420" t="n">
        <x:f>IF(S420&gt;0,1,0)</x:f>
        <x:v>0</x:v>
      </x:c>
    </x:row>
    <x:row r="421" ht="21" customHeight="1">
      <x:c r="A421" s="83" t="n">
        <x:v>46204</x:v>
      </x:c>
      <x:c r="B421" t="str">
        <x:v>quarta-feira</x:v>
      </x:c>
      <x:c r="C421" s="85" t="n">
        <x:v>0.5465277777777777</x:v>
      </x:c>
      <x:c r="D421" s="85" t="n">
        <x:v>0.6673611111111111</x:v>
      </x:c>
      <x:c r="E421" s="85" t="n">
        <x:v>0.7083333333333334</x:v>
      </x:c>
      <x:c r="F421" s="85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  <x:c r="S421" t="n">
        <x:v>0</x:v>
      </x:c>
      <x:c r="T421" t="str">
        <x:f>TEXT(INT(S421/60),"00")&amp;":"&amp;TEXT(MOD(S421,60),"00")</x:f>
        <x:v>00:00</x:v>
      </x:c>
      <x:c r="W421" t="n">
        <x:f>IF(S421&gt;0,1,0)</x:f>
        <x:v>0</x:v>
      </x:c>
    </x:row>
    <x:row r="422" ht="21" customHeight="1">
      <x:c r="A422" s="83" t="n">
        <x:v>46205</x:v>
      </x:c>
      <x:c r="B422" t="str">
        <x:v>quinta-feira</x:v>
      </x:c>
      <x:c r="C422" s="85" t="n">
        <x:v>0.5395833333333333</x:v>
      </x:c>
      <x:c r="D422" s="85" t="n">
        <x:v>0.6777777777777778</x:v>
      </x:c>
      <x:c r="E422" s="85" t="n">
        <x:v>0.7166666666666667</x:v>
      </x:c>
      <x:c r="F422" s="85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  <x:c r="S422" t="n">
        <x:v>0</x:v>
      </x:c>
      <x:c r="T422" t="str">
        <x:f>TEXT(INT(S422/60),"00")&amp;":"&amp;TEXT(MOD(S422,60),"00")</x:f>
        <x:v>00:00</x:v>
      </x:c>
      <x:c r="W422" t="n">
        <x:f>IF(S422&gt;0,1,0)</x:f>
        <x:v>0</x:v>
      </x:c>
    </x:row>
    <x:row r="423" ht="21" customHeight="1">
      <x:c r="A423" s="83" t="n">
        <x:v>46206</x:v>
      </x:c>
      <x:c r="B423" t="str">
        <x:v>sexta-feira</x:v>
      </x:c>
      <x:c r="C423" s="85" t="n">
        <x:v>0.5458333333333333</x:v>
      </x:c>
      <x:c r="D423" s="85" t="n">
        <x:v>0.6798611111111111</x:v>
      </x:c>
      <x:c r="E423" s="85" t="n">
        <x:v>0.7229166666666667</x:v>
      </x:c>
      <x:c r="F423" s="85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  <x:c r="S423" t="n">
        <x:v>0</x:v>
      </x:c>
      <x:c r="T423" t="str">
        <x:f>TEXT(INT(S423/60),"00")&amp;":"&amp;TEXT(MOD(S423,60),"00")</x:f>
        <x:v>00:00</x:v>
      </x:c>
      <x:c r="W423" t="n">
        <x:f>IF(S423&gt;0,1,0)</x:f>
        <x:v>0</x:v>
      </x:c>
    </x:row>
    <x:row r="424" ht="21" customHeight="1">
      <x:c r="A424" s="83" t="n">
        <x:v>46207</x:v>
      </x:c>
      <x:c r="B424" t="str">
        <x:v>sábado</x:v>
      </x:c>
      <x:c r="C424" s="85" t="n">
        <x:v>0.5381944444444444</x:v>
      </x:c>
      <x:c r="D424" s="85" t="n">
        <x:v>0.6701388888888888</x:v>
      </x:c>
      <x:c r="E424" s="85" t="n">
        <x:v>0.6805555555555556</x:v>
      </x:c>
      <x:c r="F424" s="85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  <x:c r="S424" t="n">
        <x:v>0</x:v>
      </x:c>
      <x:c r="T424" t="str">
        <x:f>TEXT(INT(S424/60),"00")&amp;":"&amp;TEXT(MOD(S424,60),"00")</x:f>
        <x:v>00:00</x:v>
      </x:c>
      <x:c r="W424" t="n">
        <x:f>IF(S424&gt;0,1,0)</x:f>
        <x:v>0</x:v>
      </x:c>
    </x:row>
    <x:row r="425" ht="21" customHeight="1">
      <x:c r="A425" s="83" t="n">
        <x:v>46209</x:v>
      </x:c>
      <x:c r="B425" t="str">
        <x:v>segunda-feira</x:v>
      </x:c>
      <x:c r="C425" s="85" t="n">
        <x:v>0.5430555555555555</x:v>
      </x:c>
      <x:c r="D425" s="85" t="n">
        <x:v>0.66875</x:v>
      </x:c>
      <x:c r="E425" s="85" t="n">
        <x:v>0.7083333333333334</x:v>
      </x:c>
      <x:c r="F425" s="85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  <x:c r="S425" t="n">
        <x:v>0</x:v>
      </x:c>
      <x:c r="T425" t="str">
        <x:f>TEXT(INT(S425/60),"00")&amp;":"&amp;TEXT(MOD(S425,60),"00")</x:f>
        <x:v>00:00</x:v>
      </x:c>
      <x:c r="W425" t="n">
        <x:f>IF(S425&gt;0,1,0)</x:f>
        <x:v>0</x:v>
      </x:c>
    </x:row>
    <x:row r="426" ht="21" customHeight="1">
      <x:c r="A426" s="83" t="n">
        <x:v>46210</x:v>
      </x:c>
      <x:c r="B426" t="str">
        <x:v>terça-feira</x:v>
      </x:c>
      <x:c r="C426" s="85" t="n">
        <x:v>0.5444444444444444</x:v>
      </x:c>
      <x:c r="D426" s="85" t="n">
        <x:v>0.6673611111111111</x:v>
      </x:c>
      <x:c r="E426" s="85" t="n">
        <x:v>0.7097222222222223</x:v>
      </x:c>
      <x:c r="F426" s="85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  <x:c r="S426" t="n">
        <x:v>0</x:v>
      </x:c>
      <x:c r="T426" t="str">
        <x:f>TEXT(INT(S426/60),"00")&amp;":"&amp;TEXT(MOD(S426,60),"00")</x:f>
        <x:v>00:00</x:v>
      </x:c>
      <x:c r="W426" t="n">
        <x:f>IF(S426&gt;0,1,0)</x:f>
        <x:v>0</x:v>
      </x:c>
    </x:row>
    <x:row r="427" ht="21" customHeight="1">
      <x:c r="A427" s="83" t="n">
        <x:v>46211</x:v>
      </x:c>
      <x:c r="B427" t="str">
        <x:v>quarta-feira</x:v>
      </x:c>
      <x:c r="C427" s="85" t="n">
        <x:v>0.5381944444444444</x:v>
      </x:c>
      <x:c r="D427" s="85" t="n">
        <x:v>0.6770833333333334</x:v>
      </x:c>
      <x:c r="E427" s="85" t="n">
        <x:v>0.7208333333333333</x:v>
      </x:c>
      <x:c r="F427" s="85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  <x:c r="S427" t="n">
        <x:v>0</x:v>
      </x:c>
      <x:c r="T427" t="str">
        <x:f>TEXT(INT(S427/60),"00")&amp;":"&amp;TEXT(MOD(S427,60),"00")</x:f>
        <x:v>00:00</x:v>
      </x:c>
      <x:c r="W427" t="n">
        <x:f>IF(S427&gt;0,1,0)</x:f>
        <x:v>0</x:v>
      </x:c>
    </x:row>
    <x:row r="428" ht="21" customHeight="1">
      <x:c r="A428" s="83" t="n">
        <x:v>46212</x:v>
      </x:c>
      <x:c r="B428" t="str">
        <x:v>quinta-feira</x:v>
      </x:c>
      <x:c r="C428" s="85" t="n">
        <x:v>0.5458333333333333</x:v>
      </x:c>
      <x:c r="D428" s="85" t="n">
        <x:v>0.6659722222222222</x:v>
      </x:c>
      <x:c r="E428" s="85" t="n">
        <x:v>0.7055555555555556</x:v>
      </x:c>
      <x:c r="F428" s="85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  <x:c r="S428" t="n">
        <x:v>0</x:v>
      </x:c>
      <x:c r="T428" t="str">
        <x:f>TEXT(INT(S428/60),"00")&amp;":"&amp;TEXT(MOD(S428,60),"00")</x:f>
        <x:v>00:00</x:v>
      </x:c>
      <x:c r="W428" t="n">
        <x:f>IF(S428&gt;0,1,0)</x:f>
        <x:v>0</x:v>
      </x:c>
    </x:row>
    <x:row r="429" ht="21" customHeight="1">
      <x:c r="A429" s="83" t="n">
        <x:v>46213</x:v>
      </x:c>
      <x:c r="B429" t="str">
        <x:v>sexta-feira</x:v>
      </x:c>
      <x:c r="C429" s="85" t="n">
        <x:v>0.5423611111111111</x:v>
      </x:c>
      <x:c r="D429" s="85" t="n">
        <x:v>0.6770833333333334</x:v>
      </x:c>
      <x:c r="E429" s="85" t="n">
        <x:v>0.7215277777777778</x:v>
      </x:c>
      <x:c r="F429" s="85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  <x:c r="S429" t="n">
        <x:v>0</x:v>
      </x:c>
      <x:c r="T429" t="str">
        <x:f>TEXT(INT(S429/60),"00")&amp;":"&amp;TEXT(MOD(S429,60),"00")</x:f>
        <x:v>00:00</x:v>
      </x:c>
      <x:c r="W429" t="n">
        <x:f>IF(S429&gt;0,1,0)</x:f>
        <x:v>0</x:v>
      </x:c>
    </x:row>
    <x:row r="430" ht="21" customHeight="1">
      <x:c r="A430" s="83" t="n">
        <x:v>46214</x:v>
      </x:c>
      <x:c r="B430" t="str">
        <x:v>sábado</x:v>
      </x:c>
      <x:c r="C430" s="85" t="n">
        <x:v>0.5409722222222222</x:v>
      </x:c>
      <x:c r="D430" s="85"/>
      <x:c r="E430" s="85"/>
      <x:c r="F430" s="85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  <x:c r="S430" t="n">
        <x:v>0</x:v>
      </x:c>
      <x:c r="T430" t="str">
        <x:f>TEXT(INT(S430/60),"00")&amp;":"&amp;TEXT(MOD(S430,60),"00")</x:f>
        <x:v>00:00</x:v>
      </x:c>
      <x:c r="W430" t="n">
        <x:f>IF(S430&gt;0,1,0)</x:f>
        <x:v>0</x:v>
      </x:c>
    </x:row>
    <x:row r="431" ht="21" customHeight="1">
      <x:c r="A431" s="83" t="n">
        <x:v>46216</x:v>
      </x:c>
      <x:c r="B431" t="str">
        <x:v>segunda-feira</x:v>
      </x:c>
      <x:c r="C431" s="85" t="n">
        <x:v>0.5375</x:v>
      </x:c>
      <x:c r="D431" s="85" t="n">
        <x:v>0.6722222222222223</x:v>
      </x:c>
      <x:c r="E431" s="85" t="n">
        <x:v>0.7131944444444445</x:v>
      </x:c>
      <x:c r="F431" s="85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  <x:c r="S431" t="n">
        <x:v>0</x:v>
      </x:c>
      <x:c r="T431" t="str">
        <x:f>TEXT(INT(S431/60),"00")&amp;":"&amp;TEXT(MOD(S431,60),"00")</x:f>
        <x:v>00:00</x:v>
      </x:c>
      <x:c r="W431" t="n">
        <x:f>IF(S431&gt;0,1,0)</x:f>
        <x:v>0</x:v>
      </x:c>
    </x:row>
    <x:row r="432" ht="21" customHeight="1">
      <x:c r="A432" s="83" t="n">
        <x:v>46217</x:v>
      </x:c>
      <x:c r="B432" t="str">
        <x:v>terça-feira</x:v>
      </x:c>
      <x:c r="C432" s="85" t="n">
        <x:v>0.5430555555555555</x:v>
      </x:c>
      <x:c r="D432" s="85" t="n">
        <x:v>0.6659722222222222</x:v>
      </x:c>
      <x:c r="E432" s="85" t="n">
        <x:v>0.7076388888888889</x:v>
      </x:c>
      <x:c r="F432" s="85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  <x:c r="S432" t="n">
        <x:v>0</x:v>
      </x:c>
      <x:c r="T432" t="str">
        <x:f>TEXT(INT(S432/60),"00")&amp;":"&amp;TEXT(MOD(S432,60),"00")</x:f>
        <x:v>00:00</x:v>
      </x:c>
      <x:c r="W432" t="n">
        <x:f>IF(S432&gt;0,1,0)</x:f>
        <x:v>0</x:v>
      </x:c>
    </x:row>
    <x:row r="433" ht="21" customHeight="1">
      <x:c r="A433" s="83" t="n">
        <x:v>46218</x:v>
      </x:c>
      <x:c r="B433" t="str">
        <x:v>quarta-feira</x:v>
      </x:c>
      <x:c r="C433" s="85" t="n">
        <x:v>0.5409722222222222</x:v>
      </x:c>
      <x:c r="D433" s="85" t="n">
        <x:v>0.6944444444444444</x:v>
      </x:c>
      <x:c r="E433" s="85" t="n">
        <x:v>0.7347222222222223</x:v>
      </x:c>
      <x:c r="F433" s="85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  <x:c r="S433" t="n">
        <x:v>0</x:v>
      </x:c>
      <x:c r="T433" t="str">
        <x:f>TEXT(INT(S433/60),"00")&amp;":"&amp;TEXT(MOD(S433,60),"00")</x:f>
        <x:v>00:00</x:v>
      </x:c>
      <x:c r="W433" t="n">
        <x:f>IF(S433&gt;0,1,0)</x:f>
        <x:v>0</x:v>
      </x:c>
    </x:row>
    <x:row r="434" ht="21" customHeight="1">
      <x:c r="A434" s="83" t="n">
        <x:v>46219</x:v>
      </x:c>
      <x:c r="B434" t="str">
        <x:v>quinta-feira</x:v>
      </x:c>
      <x:c r="C434" s="85" t="n">
        <x:v>0.5458333333333333</x:v>
      </x:c>
      <x:c r="D434" s="85" t="n">
        <x:v>0.6805555555555556</x:v>
      </x:c>
      <x:c r="E434" s="85" t="n">
        <x:v>0.7208333333333333</x:v>
      </x:c>
      <x:c r="F434" s="85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  <x:c r="S434" t="n">
        <x:v>0</x:v>
      </x:c>
      <x:c r="T434" t="str">
        <x:f>TEXT(INT(S434/60),"00")&amp;":"&amp;TEXT(MOD(S434,60),"00")</x:f>
        <x:v>00:00</x:v>
      </x:c>
      <x:c r="W434" t="n">
        <x:f>IF(S434&gt;0,1,0)</x:f>
        <x:v>0</x:v>
      </x:c>
    </x:row>
    <x:row r="435" ht="21" customHeight="1">
      <x:c r="A435" s="83" t="n">
        <x:v>46220</x:v>
      </x:c>
      <x:c r="B435" t="str">
        <x:v>sexta-feira</x:v>
      </x:c>
      <x:c r="C435" s="85" t="n">
        <x:v>0.5430555555555555</x:v>
      </x:c>
      <x:c r="D435" s="85" t="n">
        <x:v>0.6673611111111111</x:v>
      </x:c>
      <x:c r="E435" s="85" t="n">
        <x:v>0.70625</x:v>
      </x:c>
      <x:c r="F435" s="85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  <x:c r="S435" t="n">
        <x:v>0</x:v>
      </x:c>
      <x:c r="T435" t="str">
        <x:f>TEXT(INT(S435/60),"00")&amp;":"&amp;TEXT(MOD(S435,60),"00")</x:f>
        <x:v>00:00</x:v>
      </x:c>
      <x:c r="W435" t="n">
        <x:f>IF(S435&gt;0,1,0)</x:f>
        <x:v>0</x:v>
      </x:c>
    </x:row>
    <x:row r="436" ht="21" customHeight="1">
      <x:c r="A436" s="83" t="n">
        <x:v>46221</x:v>
      </x:c>
      <x:c r="B436" t="str">
        <x:v>sábado</x:v>
      </x:c>
      <x:c r="C436" s="85" t="n">
        <x:v>0.5381944444444444</x:v>
      </x:c>
      <x:c r="D436" s="85"/>
      <x:c r="E436" s="85"/>
      <x:c r="F436" s="85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  <x:c r="S436" t="n">
        <x:v>0</x:v>
      </x:c>
      <x:c r="T436" t="str">
        <x:f>TEXT(INT(S436/60),"00")&amp;":"&amp;TEXT(MOD(S436,60),"00")</x:f>
        <x:v>00:00</x:v>
      </x:c>
      <x:c r="W436" t="n">
        <x:f>IF(S436&gt;0,1,0)</x:f>
        <x:v>0</x:v>
      </x:c>
    </x:row>
    <x:row r="437" ht="21" customHeight="1">
      <x:c r="A437" s="83" t="n">
        <x:v>46223</x:v>
      </x:c>
      <x:c r="B437" t="str">
        <x:v>segunda-feira</x:v>
      </x:c>
      <x:c r="C437" s="85" t="n">
        <x:v>0.5444444444444444</x:v>
      </x:c>
      <x:c r="D437" s="85" t="n">
        <x:v>0.6694444444444444</x:v>
      </x:c>
      <x:c r="E437" s="85" t="n">
        <x:v>0.7125</x:v>
      </x:c>
      <x:c r="F437" s="85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  <x:c r="S437" t="n">
        <x:v>0</x:v>
      </x:c>
      <x:c r="T437" t="str">
        <x:f>TEXT(INT(S437/60),"00")&amp;":"&amp;TEXT(MOD(S437,60),"00")</x:f>
        <x:v>00:00</x:v>
      </x:c>
      <x:c r="W437" t="n">
        <x:f>IF(S437&gt;0,1,0)</x:f>
        <x:v>0</x:v>
      </x:c>
    </x:row>
    <x:row r="438" ht="21" customHeight="1">
      <x:c r="A438" s="83" t="n">
        <x:v>46224</x:v>
      </x:c>
      <x:c r="B438" t="str">
        <x:v>terça-feira</x:v>
      </x:c>
      <x:c r="C438" s="85" t="n">
        <x:v>0.5458333333333333</x:v>
      </x:c>
      <x:c r="D438" s="85" t="n">
        <x:v>0.6736111111111112</x:v>
      </x:c>
      <x:c r="E438" s="85" t="n">
        <x:v>0.7166666666666667</x:v>
      </x:c>
      <x:c r="F438" s="85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  <x:c r="S438" t="n">
        <x:v>0</x:v>
      </x:c>
      <x:c r="T438" t="str">
        <x:f>TEXT(INT(S438/60),"00")&amp;":"&amp;TEXT(MOD(S438,60),"00")</x:f>
        <x:v>00:00</x:v>
      </x:c>
      <x:c r="W438" t="n">
        <x:f>IF(S438&gt;0,1,0)</x:f>
        <x:v>0</x:v>
      </x:c>
    </x:row>
    <x:row r="439" ht="21" customHeight="1">
      <x:c r="A439" s="83" t="n">
        <x:v>46225</x:v>
      </x:c>
      <x:c r="B439" t="str">
        <x:v>quarta-feira</x:v>
      </x:c>
      <x:c r="C439" s="85" t="n">
        <x:v>0.54375</x:v>
      </x:c>
      <x:c r="D439" s="85" t="n">
        <x:v>0.6708333333333333</x:v>
      </x:c>
      <x:c r="E439" s="85" t="n">
        <x:v>0.7111111111111111</x:v>
      </x:c>
      <x:c r="F439" s="85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  <x:c r="S439" t="n">
        <x:v>0</x:v>
      </x:c>
      <x:c r="T439" t="str">
        <x:f>TEXT(INT(S439/60),"00")&amp;":"&amp;TEXT(MOD(S439,60),"00")</x:f>
        <x:v>00:00</x:v>
      </x:c>
      <x:c r="W439" t="n">
        <x:f>IF(S439&gt;0,1,0)</x:f>
        <x:v>0</x:v>
      </x:c>
    </x:row>
    <x:row r="440" ht="21" customHeight="1">
      <x:c r="A440" s="83" t="n">
        <x:v>46226</x:v>
      </x:c>
      <x:c r="B440" t="str">
        <x:v>quinta-feira</x:v>
      </x:c>
      <x:c r="C440" s="85" t="n">
        <x:v>0.5465277777777777</x:v>
      </x:c>
      <x:c r="D440" s="85" t="n">
        <x:v>0.6694444444444444</x:v>
      </x:c>
      <x:c r="E440" s="85" t="n">
        <x:v>0.7125</x:v>
      </x:c>
      <x:c r="F440" s="85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  <x:c r="S440" t="n">
        <x:v>0</x:v>
      </x:c>
      <x:c r="T440" t="str">
        <x:f>TEXT(INT(S440/60),"00")&amp;":"&amp;TEXT(MOD(S440,60),"00")</x:f>
        <x:v>00:00</x:v>
      </x:c>
      <x:c r="W440" t="n">
        <x:f>IF(S440&gt;0,1,0)</x:f>
        <x:v>0</x:v>
      </x:c>
    </x:row>
    <x:row r="441" ht="21" customHeight="1">
      <x:c r="A441" s="83" t="n">
        <x:v>46227</x:v>
      </x:c>
      <x:c r="B441" t="str">
        <x:v>sexta-feira</x:v>
      </x:c>
      <x:c r="C441" s="85" t="n">
        <x:v>0.5423611111111111</x:v>
      </x:c>
      <x:c r="D441" s="85" t="n">
        <x:v>0.6680555555555555</x:v>
      </x:c>
      <x:c r="E441" s="85" t="n">
        <x:v>0.7104166666666667</x:v>
      </x:c>
      <x:c r="F441" s="85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  <x:c r="S441" t="n">
        <x:v>0</x:v>
      </x:c>
      <x:c r="T441" t="str">
        <x:f>TEXT(INT(S441/60),"00")&amp;":"&amp;TEXT(MOD(S441,60),"00")</x:f>
        <x:v>00:00</x:v>
      </x:c>
      <x:c r="W441" t="n">
        <x:f>IF(S441&gt;0,1,0)</x:f>
        <x:v>0</x:v>
      </x:c>
    </x:row>
    <x:row r="442" ht="21" customHeight="1">
      <x:c r="A442" s="83" t="n">
        <x:v>46228</x:v>
      </x:c>
      <x:c r="B442" t="str">
        <x:v>sábado</x:v>
      </x:c>
      <x:c r="C442" s="85" t="n">
        <x:v>0.5465277777777777</x:v>
      </x:c>
      <x:c r="D442" s="85"/>
      <x:c r="E442" s="85"/>
      <x:c r="F442" s="85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  <x:c r="S442" t="n">
        <x:v>0</x:v>
      </x:c>
      <x:c r="T442" t="str">
        <x:f>TEXT(INT(S442/60),"00")&amp;":"&amp;TEXT(MOD(S442,60),"00")</x:f>
        <x:v>00:00</x:v>
      </x:c>
      <x:c r="W442" t="n">
        <x:f>IF(S442&gt;0,1,0)</x:f>
        <x:v>0</x:v>
      </x:c>
    </x:row>
    <x:row r="443" ht="21" customHeight="1">
      <x:c r="A443" s="83" t="n">
        <x:v>46230</x:v>
      </x:c>
      <x:c r="B443" t="str">
        <x:v>segunda-feira</x:v>
      </x:c>
      <x:c r="C443" s="85" t="n">
        <x:v>0.5381944444444444</x:v>
      </x:c>
      <x:c r="D443" s="85" t="n">
        <x:v>0.6777777777777778</x:v>
      </x:c>
      <x:c r="E443" s="85" t="n">
        <x:v>0.7215277777777778</x:v>
      </x:c>
      <x:c r="F443" s="85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  <x:c r="S443" t="n">
        <x:v>0</x:v>
      </x:c>
      <x:c r="T443" t="str">
        <x:f>TEXT(INT(S443/60),"00")&amp;":"&amp;TEXT(MOD(S443,60),"00")</x:f>
        <x:v>00:00</x:v>
      </x:c>
      <x:c r="W443" t="n">
        <x:f>IF(S443&gt;0,1,0)</x:f>
        <x:v>0</x:v>
      </x:c>
    </x:row>
    <x:row r="444" ht="21" customHeight="1">
      <x:c r="A444" s="83" t="n">
        <x:v>46231</x:v>
      </x:c>
      <x:c r="B444" t="str">
        <x:v>terça-feira</x:v>
      </x:c>
      <x:c r="C444" s="85" t="n">
        <x:v>0.5409722222222222</x:v>
      </x:c>
      <x:c r="D444" s="85" t="n">
        <x:v>0.6791666666666667</x:v>
      </x:c>
      <x:c r="E444" s="85" t="n">
        <x:v>0.7201388888888889</x:v>
      </x:c>
      <x:c r="F444" s="85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  <x:c r="S444" t="n">
        <x:v>0</x:v>
      </x:c>
      <x:c r="T444" t="str">
        <x:f>TEXT(INT(S444/60),"00")&amp;":"&amp;TEXT(MOD(S444,60),"00")</x:f>
        <x:v>00:00</x:v>
      </x:c>
      <x:c r="W444" t="n">
        <x:f>IF(S444&gt;0,1,0)</x:f>
        <x:v>0</x:v>
      </x:c>
    </x:row>
    <x:row r="445" ht="21" customHeight="1">
      <x:c r="A445" s="83" t="n">
        <x:v>46232</x:v>
      </x:c>
      <x:c r="B445" t="str">
        <x:v>quarta-feira</x:v>
      </x:c>
      <x:c r="C445" s="85" t="n">
        <x:v>0.5395833333333333</x:v>
      </x:c>
      <x:c r="D445" s="85" t="n">
        <x:v>0.6694444444444444</x:v>
      </x:c>
      <x:c r="E445" s="85" t="n">
        <x:v>0.7131944444444445</x:v>
      </x:c>
      <x:c r="F445" s="85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  <x:c r="S445" t="n">
        <x:v>0</x:v>
      </x:c>
      <x:c r="T445" t="str">
        <x:f>TEXT(INT(S445/60),"00")&amp;":"&amp;TEXT(MOD(S445,60),"00")</x:f>
        <x:v>00:00</x:v>
      </x:c>
      <x:c r="W445" t="n">
        <x:f>IF(S445&gt;0,1,0)</x:f>
        <x:v>0</x:v>
      </x:c>
    </x:row>
    <x:row r="446" ht="21" customHeight="1">
      <x:c r="A446" s="83" t="n">
        <x:v>46233</x:v>
      </x:c>
      <x:c r="B446" t="str">
        <x:v>quinta-feira</x:v>
      </x:c>
      <x:c r="C446" s="85" t="n">
        <x:v>0.5381944444444444</x:v>
      </x:c>
      <x:c r="D446" s="85" t="n">
        <x:v>0.6805555555555556</x:v>
      </x:c>
      <x:c r="E446" s="85" t="n">
        <x:v>0.7236111111111111</x:v>
      </x:c>
      <x:c r="F446" s="85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  <x:c r="S446" t="n">
        <x:v>0</x:v>
      </x:c>
      <x:c r="T446" t="str">
        <x:f>TEXT(INT(S446/60),"00")&amp;":"&amp;TEXT(MOD(S446,60),"00")</x:f>
        <x:v>00:00</x:v>
      </x:c>
      <x:c r="W446" t="n">
        <x:f>IF(S446&gt;0,1,0)</x:f>
        <x:v>0</x:v>
      </x:c>
    </x:row>
    <x:row r="447" ht="21" customHeight="1">
      <x:c r="A447" s="83" t="n">
        <x:v>46234</x:v>
      </x:c>
      <x:c r="B447" t="str">
        <x:v>sexta-feira</x:v>
      </x:c>
      <x:c r="C447" s="85" t="n">
        <x:v>0.5430555555555555</x:v>
      </x:c>
      <x:c r="D447" s="85" t="n">
        <x:v>0.6659722222222222</x:v>
      </x:c>
      <x:c r="E447" s="85" t="n">
        <x:v>0.7055555555555556</x:v>
      </x:c>
      <x:c r="F447" s="85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  <x:c r="S447" t="n">
        <x:v>0</x:v>
      </x:c>
      <x:c r="T447" t="str">
        <x:f>TEXT(INT(S447/60),"00")&amp;":"&amp;TEXT(MOD(S447,60),"00")</x:f>
        <x:v>00:00</x:v>
      </x:c>
      <x:c r="W447" t="n">
        <x:f>IF(S447&gt;0,1,0)</x:f>
        <x:v>0</x:v>
      </x:c>
    </x:row>
    <x:row r="448" ht="21" customHeight="1">
      <x:c r="A448" s="83" t="n">
        <x:v>46235</x:v>
      </x:c>
      <x:c r="B448" t="str">
        <x:v>sábado</x:v>
      </x:c>
      <x:c r="C448" s="85" t="n">
        <x:v>0.5430555555555555</x:v>
      </x:c>
      <x:c r="D448" s="85"/>
      <x:c r="E448" s="85"/>
      <x:c r="F448" s="85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  <x:c r="S448" t="n">
        <x:v>0</x:v>
      </x:c>
      <x:c r="T448" t="str">
        <x:f>TEXT(INT(S448/60),"00")&amp;":"&amp;TEXT(MOD(S448,60),"00")</x:f>
        <x:v>00:00</x:v>
      </x:c>
      <x:c r="W448" t="n">
        <x:f>IF(S448&gt;0,1,0)</x:f>
        <x:v>0</x:v>
      </x:c>
    </x:row>
    <x:row r="449" ht="21" customHeight="1">
      <x:c r="A449" s="83" t="n">
        <x:v>46237</x:v>
      </x:c>
      <x:c r="B449" t="str">
        <x:v>segunda-feira</x:v>
      </x:c>
      <x:c r="C449" s="85" t="n">
        <x:v>0.5416666666666666</x:v>
      </x:c>
      <x:c r="D449" s="85" t="n">
        <x:v>0.6770833333333334</x:v>
      </x:c>
      <x:c r="E449" s="85" t="n">
        <x:v>0.7201388888888889</x:v>
      </x:c>
      <x:c r="F449" s="85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  <x:c r="S449" t="n">
        <x:v>0</x:v>
      </x:c>
      <x:c r="T449" t="str">
        <x:f>TEXT(INT(S449/60),"00")&amp;":"&amp;TEXT(MOD(S449,60),"00")</x:f>
        <x:v>00:00</x:v>
      </x:c>
      <x:c r="W449" t="n">
        <x:f>IF(S449&gt;0,1,0)</x:f>
        <x:v>0</x:v>
      </x:c>
    </x:row>
    <x:row r="450" ht="21" customHeight="1">
      <x:c r="A450" s="83" t="n">
        <x:v>46238</x:v>
      </x:c>
      <x:c r="B450" t="str">
        <x:v>terça-feira</x:v>
      </x:c>
      <x:c r="C450" s="85" t="n">
        <x:v>0.5430555555555555</x:v>
      </x:c>
      <x:c r="D450" s="85" t="n">
        <x:v>0.6736111111111112</x:v>
      </x:c>
      <x:c r="E450" s="85" t="n">
        <x:v>0.7138888888888889</x:v>
      </x:c>
      <x:c r="F450" s="85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  <x:c r="S450" t="n">
        <x:v>0</x:v>
      </x:c>
      <x:c r="T450" t="str">
        <x:f>TEXT(INT(S450/60),"00")&amp;":"&amp;TEXT(MOD(S450,60),"00")</x:f>
        <x:v>00:00</x:v>
      </x:c>
      <x:c r="W450" t="n">
        <x:f>IF(S450&gt;0,1,0)</x:f>
        <x:v>0</x:v>
      </x:c>
    </x:row>
    <x:row r="451" ht="21" customHeight="1">
      <x:c r="A451" s="83" t="n">
        <x:v>46239</x:v>
      </x:c>
      <x:c r="B451" t="str">
        <x:v>quarta-feira</x:v>
      </x:c>
      <x:c r="C451" s="85" t="n">
        <x:v>0.5388888888888889</x:v>
      </x:c>
      <x:c r="D451" s="85" t="n">
        <x:v>0.6763888888888889</x:v>
      </x:c>
      <x:c r="E451" s="85" t="n">
        <x:v>0.7194444444444444</x:v>
      </x:c>
      <x:c r="F451" s="85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  <x:c r="S451" t="n">
        <x:v>0</x:v>
      </x:c>
      <x:c r="T451" t="str">
        <x:f>TEXT(INT(S451/60),"00")&amp;":"&amp;TEXT(MOD(S451,60),"00")</x:f>
        <x:v>00:00</x:v>
      </x:c>
      <x:c r="W451" t="n">
        <x:f>IF(S451&gt;0,1,0)</x:f>
        <x:v>0</x:v>
      </x:c>
    </x:row>
    <x:row r="452" ht="21" customHeight="1">
      <x:c r="A452" s="83" t="n">
        <x:v>46240</x:v>
      </x:c>
      <x:c r="B452" t="str">
        <x:v>quinta-feira</x:v>
      </x:c>
      <x:c r="C452" s="85" t="n">
        <x:v>0.5451388888888888</x:v>
      </x:c>
      <x:c r="D452" s="85" t="n">
        <x:v>0.6777777777777778</x:v>
      </x:c>
      <x:c r="E452" s="85" t="n">
        <x:v>0.71875</x:v>
      </x:c>
      <x:c r="F452" s="85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  <x:c r="S452" t="n">
        <x:v>0</x:v>
      </x:c>
      <x:c r="T452" t="str">
        <x:f>TEXT(INT(S452/60),"00")&amp;":"&amp;TEXT(MOD(S452,60),"00")</x:f>
        <x:v>00:00</x:v>
      </x:c>
      <x:c r="W452" t="n">
        <x:f>IF(S452&gt;0,1,0)</x:f>
        <x:v>0</x:v>
      </x:c>
    </x:row>
    <x:row r="453" ht="21" customHeight="1">
      <x:c r="A453" s="83" t="n">
        <x:v>46241</x:v>
      </x:c>
      <x:c r="B453" t="str">
        <x:v>sexta-feira</x:v>
      </x:c>
      <x:c r="C453" s="85" t="n">
        <x:v>0.54375</x:v>
      </x:c>
      <x:c r="D453" s="85" t="n">
        <x:v>0.6701388888888888</x:v>
      </x:c>
      <x:c r="E453" s="85" t="n">
        <x:v>0.7118055555555556</x:v>
      </x:c>
      <x:c r="F453" s="85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  <x:c r="S453" t="n">
        <x:v>0</x:v>
      </x:c>
      <x:c r="T453" t="str">
        <x:f>TEXT(INT(S453/60),"00")&amp;":"&amp;TEXT(MOD(S453,60),"00")</x:f>
        <x:v>00:00</x:v>
      </x:c>
      <x:c r="W453" t="n">
        <x:f>IF(S453&gt;0,1,0)</x:f>
        <x:v>0</x:v>
      </x:c>
    </x:row>
    <x:row r="454" ht="21" customHeight="1">
      <x:c r="A454" s="83" t="n">
        <x:v>46242</x:v>
      </x:c>
      <x:c r="B454" t="str">
        <x:v>sábado</x:v>
      </x:c>
      <x:c r="C454" s="85" t="n">
        <x:v>0.54375</x:v>
      </x:c>
      <x:c r="D454" s="85"/>
      <x:c r="E454" s="85"/>
      <x:c r="F454" s="85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  <x:c r="S454" t="n">
        <x:v>0</x:v>
      </x:c>
      <x:c r="T454" t="str">
        <x:f>TEXT(INT(S454/60),"00")&amp;":"&amp;TEXT(MOD(S454,60),"00")</x:f>
        <x:v>00:00</x:v>
      </x:c>
      <x:c r="W454" t="n">
        <x:f>IF(S454&gt;0,1,0)</x:f>
        <x:v>0</x:v>
      </x:c>
    </x:row>
    <x:row r="455" ht="21" customHeight="1">
      <x:c r="A455" s="83" t="n">
        <x:v>46244</x:v>
      </x:c>
      <x:c r="B455" t="str">
        <x:v>segunda-feira</x:v>
      </x:c>
      <x:c r="C455" s="85" t="n">
        <x:v>0.5472222222222223</x:v>
      </x:c>
      <x:c r="D455" s="85" t="n">
        <x:v>0.6673611111111111</x:v>
      </x:c>
      <x:c r="E455" s="85" t="n">
        <x:v>0.7111111111111111</x:v>
      </x:c>
      <x:c r="F455" s="85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  <x:c r="S455" t="n">
        <x:v>0</x:v>
      </x:c>
      <x:c r="T455" t="str">
        <x:f>TEXT(INT(S455/60),"00")&amp;":"&amp;TEXT(MOD(S455,60),"00")</x:f>
        <x:v>00:00</x:v>
      </x:c>
      <x:c r="W455" t="n">
        <x:f>IF(S455&gt;0,1,0)</x:f>
        <x:v>0</x:v>
      </x:c>
    </x:row>
    <x:row r="456" ht="21" customHeight="1">
      <x:c r="A456" s="83" t="n">
        <x:v>46245</x:v>
      </x:c>
      <x:c r="B456" t="str">
        <x:v>terça-feira</x:v>
      </x:c>
      <x:c r="C456" s="85" t="n">
        <x:v>0.5409722222222222</x:v>
      </x:c>
      <x:c r="D456" s="85" t="n">
        <x:v>0.6743055555555556</x:v>
      </x:c>
      <x:c r="E456" s="85" t="n">
        <x:v>0.7166666666666667</x:v>
      </x:c>
      <x:c r="F456" s="85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  <x:c r="S456" t="n">
        <x:v>0</x:v>
      </x:c>
      <x:c r="T456" t="str">
        <x:f>TEXT(INT(S456/60),"00")&amp;":"&amp;TEXT(MOD(S456,60),"00")</x:f>
        <x:v>00:00</x:v>
      </x:c>
      <x:c r="W456" t="n">
        <x:f>IF(S456&gt;0,1,0)</x:f>
        <x:v>0</x:v>
      </x:c>
    </x:row>
    <x:row r="457" ht="21" customHeight="1">
      <x:c r="A457" s="83" t="n">
        <x:v>46246</x:v>
      </x:c>
      <x:c r="B457" t="str">
        <x:v>quarta-feira</x:v>
      </x:c>
      <x:c r="C457" s="85" t="n">
        <x:v>0.5472222222222223</x:v>
      </x:c>
      <x:c r="D457" s="85" t="n">
        <x:v>0.675</x:v>
      </x:c>
      <x:c r="E457" s="85" t="n">
        <x:v>0.7152777777777778</x:v>
      </x:c>
      <x:c r="F457" s="85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  <x:c r="S457" t="n">
        <x:v>0</x:v>
      </x:c>
      <x:c r="T457" t="str">
        <x:f>TEXT(INT(S457/60),"00")&amp;":"&amp;TEXT(MOD(S457,60),"00")</x:f>
        <x:v>00:00</x:v>
      </x:c>
      <x:c r="W457" t="n">
        <x:f>IF(S457&gt;0,1,0)</x:f>
        <x:v>0</x:v>
      </x:c>
    </x:row>
    <x:row r="458" ht="21" customHeight="1">
      <x:c r="A458" s="83" t="n">
        <x:v>46247</x:v>
      </x:c>
      <x:c r="B458" t="str">
        <x:v>quinta-feira</x:v>
      </x:c>
      <x:c r="C458" s="85" t="n">
        <x:v>0.5416666666666666</x:v>
      </x:c>
      <x:c r="D458" s="85" t="n">
        <x:v>0.6798611111111111</x:v>
      </x:c>
      <x:c r="E458" s="85" t="n">
        <x:v>0.7215277777777778</x:v>
      </x:c>
      <x:c r="F458" s="85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  <x:c r="S458" t="n">
        <x:v>0</x:v>
      </x:c>
      <x:c r="T458" t="str">
        <x:f>TEXT(INT(S458/60),"00")&amp;":"&amp;TEXT(MOD(S458,60),"00")</x:f>
        <x:v>00:00</x:v>
      </x:c>
      <x:c r="W458" t="n">
        <x:f>IF(S458&gt;0,1,0)</x:f>
        <x:v>0</x:v>
      </x:c>
    </x:row>
    <x:row r="459" ht="21" customHeight="1">
      <x:c r="A459" s="83" t="n">
        <x:v>46248</x:v>
      </x:c>
      <x:c r="B459" t="str">
        <x:v>sexta-feira</x:v>
      </x:c>
      <x:c r="C459" s="85" t="n">
        <x:v>0.5375</x:v>
      </x:c>
      <x:c r="D459" s="85" t="n">
        <x:v>0.6708333333333333</x:v>
      </x:c>
      <x:c r="E459" s="85" t="n">
        <x:v>0.7145833333333333</x:v>
      </x:c>
      <x:c r="F459" s="85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  <x:c r="S459" t="n">
        <x:v>0</x:v>
      </x:c>
      <x:c r="T459" t="str">
        <x:f>TEXT(INT(S459/60),"00")&amp;":"&amp;TEXT(MOD(S459,60),"00")</x:f>
        <x:v>00:00</x:v>
      </x:c>
      <x:c r="W459" t="n">
        <x:f>IF(S459&gt;0,1,0)</x:f>
        <x:v>0</x:v>
      </x:c>
    </x:row>
    <x:row r="460" ht="21" customHeight="1">
      <x:c r="A460" s="83" t="n">
        <x:v>46249</x:v>
      </x:c>
      <x:c r="B460" t="str">
        <x:v>sábado</x:v>
      </x:c>
      <x:c r="C460" s="85" t="n">
        <x:v>0.5409722222222222</x:v>
      </x:c>
      <x:c r="D460" s="85"/>
      <x:c r="E460" s="85"/>
      <x:c r="F460" s="85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  <x:c r="S460" t="n">
        <x:v>0</x:v>
      </x:c>
      <x:c r="T460" t="str">
        <x:f>TEXT(INT(S460/60),"00")&amp;":"&amp;TEXT(MOD(S460,60),"00")</x:f>
        <x:v>00:00</x:v>
      </x:c>
      <x:c r="W460" t="n">
        <x:f>IF(S460&gt;0,1,0)</x:f>
        <x:v>0</x:v>
      </x:c>
    </x:row>
    <x:row r="461" ht="21" customHeight="1">
      <x:c r="A461" s="83" t="n">
        <x:v>46251</x:v>
      </x:c>
      <x:c r="B461" t="str">
        <x:v>segunda-feira</x:v>
      </x:c>
      <x:c r="C461" s="85" t="n">
        <x:v>0.54375</x:v>
      </x:c>
      <x:c r="D461" s="85" t="n">
        <x:v>0.6840277777777778</x:v>
      </x:c>
      <x:c r="E461" s="85" t="n">
        <x:v>0.7243055555555555</x:v>
      </x:c>
      <x:c r="F461" s="85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  <x:c r="S461" t="n">
        <x:v>0</x:v>
      </x:c>
      <x:c r="T461" t="str">
        <x:f>TEXT(INT(S461/60),"00")&amp;":"&amp;TEXT(MOD(S461,60),"00")</x:f>
        <x:v>00:00</x:v>
      </x:c>
      <x:c r="W461" t="n">
        <x:f>IF(S461&gt;0,1,0)</x:f>
        <x:v>0</x:v>
      </x:c>
    </x:row>
    <x:row r="462" ht="21" customHeight="1">
      <x:c r="A462" s="83" t="n">
        <x:v>46252</x:v>
      </x:c>
      <x:c r="B462" t="str">
        <x:v>terça-feira</x:v>
      </x:c>
      <x:c r="C462" s="85" t="n">
        <x:v>0.54375</x:v>
      </x:c>
      <x:c r="D462" s="85" t="n">
        <x:v>0.6791666666666667</x:v>
      </x:c>
      <x:c r="E462" s="85" t="n">
        <x:v>0.71875</x:v>
      </x:c>
      <x:c r="F462" s="85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  <x:c r="S462" t="n">
        <x:v>0</x:v>
      </x:c>
      <x:c r="T462" t="str">
        <x:f>TEXT(INT(S462/60),"00")&amp;":"&amp;TEXT(MOD(S462,60),"00")</x:f>
        <x:v>00:00</x:v>
      </x:c>
      <x:c r="W462" t="n">
        <x:f>IF(S462&gt;0,1,0)</x:f>
        <x:v>0</x:v>
      </x:c>
    </x:row>
    <x:row r="463" ht="21" customHeight="1">
      <x:c r="A463" s="83" t="n">
        <x:v>46253</x:v>
      </x:c>
      <x:c r="B463" t="str">
        <x:v>quarta-feira</x:v>
      </x:c>
      <x:c r="C463" s="85" t="n">
        <x:v>0.5451388888888888</x:v>
      </x:c>
      <x:c r="D463" s="85" t="n">
        <x:v>0.6736111111111112</x:v>
      </x:c>
      <x:c r="E463" s="85" t="n">
        <x:v>0.7152777777777778</x:v>
      </x:c>
      <x:c r="F463" s="85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  <x:c r="S463" t="n">
        <x:v>0</x:v>
      </x:c>
      <x:c r="T463" t="str">
        <x:f>TEXT(INT(S463/60),"00")&amp;":"&amp;TEXT(MOD(S463,60),"00")</x:f>
        <x:v>00:00</x:v>
      </x:c>
      <x:c r="W463" t="n">
        <x:f>IF(S463&gt;0,1,0)</x:f>
        <x:v>0</x:v>
      </x:c>
    </x:row>
    <x:row r="464" ht="21" customHeight="1">
      <x:c r="A464" s="83" t="n">
        <x:v>46254</x:v>
      </x:c>
      <x:c r="B464" t="str">
        <x:v>quinta-feira</x:v>
      </x:c>
      <x:c r="C464" s="85" t="n">
        <x:v>0.5402777777777777</x:v>
      </x:c>
      <x:c r="D464" s="85" t="n">
        <x:v>0.6673611111111111</x:v>
      </x:c>
      <x:c r="E464" s="85" t="n">
        <x:v>0.7083333333333334</x:v>
      </x:c>
      <x:c r="F464" s="85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  <x:c r="S464" t="n">
        <x:v>0</x:v>
      </x:c>
      <x:c r="T464" t="str">
        <x:f>TEXT(INT(S464/60),"00")&amp;":"&amp;TEXT(MOD(S464,60),"00")</x:f>
        <x:v>00:00</x:v>
      </x:c>
      <x:c r="W464" t="n">
        <x:f>IF(S464&gt;0,1,0)</x:f>
        <x:v>0</x:v>
      </x:c>
    </x:row>
    <x:row r="465" ht="21" customHeight="1">
      <x:c r="A465" s="83" t="n">
        <x:v>46255</x:v>
      </x:c>
      <x:c r="B465" t="str">
        <x:v>sexta-feira</x:v>
      </x:c>
      <x:c r="C465" s="85" t="n">
        <x:v>0.54375</x:v>
      </x:c>
      <x:c r="D465" s="85" t="n">
        <x:v>0.6909722222222222</x:v>
      </x:c>
      <x:c r="E465" s="85" t="n">
        <x:v>0.7361111111111112</x:v>
      </x:c>
      <x:c r="F465" s="85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  <x:c r="S465" t="n">
        <x:v>0</x:v>
      </x:c>
      <x:c r="T465" t="str">
        <x:f>TEXT(INT(S465/60),"00")&amp;":"&amp;TEXT(MOD(S465,60),"00")</x:f>
        <x:v>00:00</x:v>
      </x:c>
      <x:c r="W465" t="n">
        <x:f>IF(S465&gt;0,1,0)</x:f>
        <x:v>0</x:v>
      </x:c>
    </x:row>
    <x:row r="466" ht="21" customHeight="1">
      <x:c r="A466" s="83" t="n">
        <x:v>46256</x:v>
      </x:c>
      <x:c r="B466" t="str">
        <x:v>sábado</x:v>
      </x:c>
      <x:c r="C466" s="85" t="n">
        <x:v>0.5388888888888889</x:v>
      </x:c>
      <x:c r="D466" s="85"/>
      <x:c r="E466" s="85"/>
      <x:c r="F466" s="85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  <x:c r="S466" t="n">
        <x:v>0</x:v>
      </x:c>
      <x:c r="T466" t="str">
        <x:f>TEXT(INT(S466/60),"00")&amp;":"&amp;TEXT(MOD(S466,60),"00")</x:f>
        <x:v>00:00</x:v>
      </x:c>
      <x:c r="W466" t="n">
        <x:f>IF(S466&gt;0,1,0)</x:f>
        <x:v>0</x:v>
      </x:c>
    </x:row>
    <x:row r="467" ht="21" customHeight="1">
      <x:c r="A467" s="83" t="n">
        <x:v>46258</x:v>
      </x:c>
      <x:c r="B467" t="str">
        <x:v>segunda-feira</x:v>
      </x:c>
      <x:c r="C467" s="85" t="n">
        <x:v>0.5444444444444444</x:v>
      </x:c>
      <x:c r="D467" s="85" t="n">
        <x:v>0.6715277777777777</x:v>
      </x:c>
      <x:c r="E467" s="85" t="n">
        <x:v>0.7118055555555556</x:v>
      </x:c>
      <x:c r="F467" s="85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  <x:c r="S467" t="n">
        <x:v>0</x:v>
      </x:c>
      <x:c r="T467" t="str">
        <x:f>TEXT(INT(S467/60),"00")&amp;":"&amp;TEXT(MOD(S467,60),"00")</x:f>
        <x:v>00:00</x:v>
      </x:c>
      <x:c r="W467" t="n">
        <x:f>IF(S467&gt;0,1,0)</x:f>
        <x:v>0</x:v>
      </x:c>
    </x:row>
    <x:row r="468" ht="21" customHeight="1">
      <x:c r="A468" s="83" t="n">
        <x:v>46259</x:v>
      </x:c>
      <x:c r="B468" t="str">
        <x:v>terça-feira</x:v>
      </x:c>
      <x:c r="C468" s="85" t="n">
        <x:v>0.5423611111111111</x:v>
      </x:c>
      <x:c r="D468" s="85" t="n">
        <x:v>0.6701388888888888</x:v>
      </x:c>
      <x:c r="E468" s="85" t="n">
        <x:v>0.7090277777777778</x:v>
      </x:c>
      <x:c r="F468" s="85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  <x:c r="S468" t="n">
        <x:v>0</x:v>
      </x:c>
      <x:c r="T468" t="str">
        <x:f>TEXT(INT(S468/60),"00")&amp;":"&amp;TEXT(MOD(S468,60),"00")</x:f>
        <x:v>00:00</x:v>
      </x:c>
      <x:c r="W468" t="n">
        <x:f>IF(S468&gt;0,1,0)</x:f>
        <x:v>0</x:v>
      </x:c>
    </x:row>
    <x:row r="469" ht="21" customHeight="1">
      <x:c r="A469" s="83" t="n">
        <x:v>46260</x:v>
      </x:c>
      <x:c r="B469" t="str">
        <x:v>quarta-feira</x:v>
      </x:c>
      <x:c r="C469" s="85" t="n">
        <x:v>0.5472222222222223</x:v>
      </x:c>
      <x:c r="D469" s="85" t="n">
        <x:v>0.6770833333333334</x:v>
      </x:c>
      <x:c r="E469" s="85" t="n">
        <x:v>0.7173611111111111</x:v>
      </x:c>
      <x:c r="F469" s="85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  <x:c r="S469" t="n">
        <x:v>0</x:v>
      </x:c>
      <x:c r="T469" t="str">
        <x:f>TEXT(INT(S469/60),"00")&amp;":"&amp;TEXT(MOD(S469,60),"00")</x:f>
        <x:v>00:00</x:v>
      </x:c>
      <x:c r="W469" t="n">
        <x:f>IF(S469&gt;0,1,0)</x:f>
        <x:v>0</x:v>
      </x:c>
    </x:row>
    <x:row r="470" ht="21" customHeight="1">
      <x:c r="A470" s="83" t="n">
        <x:v>46261</x:v>
      </x:c>
      <x:c r="B470" t="str">
        <x:v>quinta-feira</x:v>
      </x:c>
      <x:c r="C470" s="85" t="n">
        <x:v>0.5388888888888889</x:v>
      </x:c>
      <x:c r="D470" s="85" t="n">
        <x:v>0.6736111111111112</x:v>
      </x:c>
      <x:c r="E470" s="85" t="n">
        <x:v>0.7173611111111111</x:v>
      </x:c>
      <x:c r="F470" s="85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  <x:c r="S470" t="n">
        <x:v>0</x:v>
      </x:c>
      <x:c r="T470" t="str">
        <x:f>TEXT(INT(S470/60),"00")&amp;":"&amp;TEXT(MOD(S470,60),"00")</x:f>
        <x:v>00:00</x:v>
      </x:c>
      <x:c r="W470" t="n">
        <x:f>IF(S470&gt;0,1,0)</x:f>
        <x:v>0</x:v>
      </x:c>
    </x:row>
    <x:row r="471" ht="21" customHeight="1">
      <x:c r="A471" s="83" t="n">
        <x:v>46262</x:v>
      </x:c>
      <x:c r="B471" t="str">
        <x:v>sexta-feira</x:v>
      </x:c>
      <x:c r="C471" s="85" t="n">
        <x:v>0.5458333333333333</x:v>
      </x:c>
      <x:c r="D471" s="85" t="n">
        <x:v>0.66875</x:v>
      </x:c>
      <x:c r="E471" s="85" t="n">
        <x:v>0.7090277777777778</x:v>
      </x:c>
      <x:c r="F471" s="85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  <x:c r="S471" t="n">
        <x:v>0</x:v>
      </x:c>
      <x:c r="T471" t="str">
        <x:f>TEXT(INT(S471/60),"00")&amp;":"&amp;TEXT(MOD(S471,60),"00")</x:f>
        <x:v>00:00</x:v>
      </x:c>
      <x:c r="W471" t="n">
        <x:f>IF(S471&gt;0,1,0)</x:f>
        <x:v>0</x:v>
      </x:c>
    </x:row>
    <x:row r="472" ht="21" customHeight="1">
      <x:c r="A472" s="83" t="n">
        <x:v>46263</x:v>
      </x:c>
      <x:c r="B472" t="str">
        <x:v>sábado</x:v>
      </x:c>
      <x:c r="C472" s="85" t="n">
        <x:v>0.5451388888888888</x:v>
      </x:c>
      <x:c r="D472" s="85" t="n">
        <x:v>0.6736111111111112</x:v>
      </x:c>
      <x:c r="E472" s="85" t="n">
        <x:v>0.7152777777777778</x:v>
      </x:c>
      <x:c r="F472" s="85" t="n">
        <x:v>0.9166666666666666</x:v>
      </x:c>
      <x:c r="G472" t="str">
        <x:f>TEXT(INT(K472/60),"00")&amp;":"&amp;TEXT(MOD(K472,60),"00")</x:f>
        <x:v>07:55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+03:55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475</x:v>
      </x:c>
      <x:c r="L472" t="n">
        <x:v>240</x:v>
      </x:c>
      <x:c r="M472" t="n">
        <x:f>K472-L472</x:f>
        <x:v>235</x:v>
      </x:c>
      <x:c r="N472" t="n">
        <x:f>MAX(0,M472)</x:f>
        <x:v>235</x:v>
      </x:c>
      <x:c r="O472" t="n">
        <x:f>MAX(0,-M472)</x:f>
        <x:v>0</x:v>
      </x:c>
      <x:c r="P472" t="str">
        <x:v>Ponto registrado — jornada revisada</x:v>
      </x:c>
      <x:c r="Q472" t="str">
        <x:v>Horários da planilha de jornadas revisada</x:v>
      </x:c>
      <x:c r="R472" t="str">
        <x:v>2026-08</x:v>
      </x:c>
      <x:c r="S472" t="n">
        <x:v>0</x:v>
      </x:c>
      <x:c r="T472" t="str">
        <x:f>TEXT(INT(S472/60),"00")&amp;":"&amp;TEXT(MOD(S472,60),"00")</x:f>
        <x:v>00:00</x:v>
      </x:c>
      <x:c r="W472" t="n">
        <x:f>IF(S472&gt;0,1,0)</x:f>
        <x:v>0</x:v>
      </x:c>
    </x:row>
    <x:row r="473" ht="21" customHeight="1">
      <x:c r="A473" s="83" t="n">
        <x:v>46265</x:v>
      </x:c>
      <x:c r="B473" t="str">
        <x:v>segunda-feira</x:v>
      </x:c>
      <x:c r="C473" s="85" t="n">
        <x:v>0.5423611111111111</x:v>
      </x:c>
      <x:c r="D473" s="85" t="n">
        <x:v>0.6708333333333333</x:v>
      </x:c>
      <x:c r="E473" s="85" t="n">
        <x:v>0.7145833333333333</x:v>
      </x:c>
      <x:c r="F473" s="85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  <x:c r="S473" t="n">
        <x:v>0</x:v>
      </x:c>
      <x:c r="T473" t="str">
        <x:f>TEXT(INT(S473/60),"00")&amp;":"&amp;TEXT(MOD(S473,60),"00")</x:f>
        <x:v>00:00</x:v>
      </x:c>
      <x:c r="W473" t="n">
        <x:f>IF(S473&gt;0,1,0)</x:f>
        <x:v>0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1" customHeight="1">
      <x:c r="A1" s="114" t="str">
        <x:v>MARINA • SALDOS MENSAIS DERIVADOS DAS LINHAS DO ESPELHO</x:v>
      </x:c>
      <x:c r="B1" s="114"/>
      <x:c r="C1" s="114"/>
      <x:c r="D1" s="114"/>
      <x:c r="E1" s="114"/>
      <x:c r="F1" s="114"/>
      <x:c r="G1" s="114"/>
    </x:row>
    <x:row r="2" ht="31" customHeight="1">
      <x:c r="A2" s="108" t="str">
        <x:v>Dados demonstrativos: somar excedentes positivos não equivale automaticamente a crédito trabalhista. Horários complementados não substituem comprovantes.</x:v>
      </x:c>
      <x:c r="B2" s="108"/>
      <x:c r="C2" s="108"/>
      <x:c r="D2" s="108"/>
      <x:c r="E2" s="108"/>
      <x:c r="F2" s="108"/>
      <x:c r="G2" s="108"/>
    </x:row>
    <x:row r="4" ht="29" customHeight="1">
      <x:c r="A4" s="113" t="str">
        <x:v>Competência</x:v>
      </x:c>
      <x:c r="B4" s="113" t="str">
        <x:v>Trabalhado (min)</x:v>
      </x:c>
      <x:c r="C4" s="113" t="str">
        <x:v>Extras (min)</x:v>
      </x:c>
      <x:c r="D4" s="113" t="str">
        <x:v>Negativos (min)</x:v>
      </x:c>
      <x:c r="E4" s="113" t="str">
        <x:v>Total Trab.</x:v>
      </x:c>
      <x:c r="F4" s="113" t="str">
        <x:v>Saldo (Extra)</x:v>
      </x:c>
      <x:c r="G4" s="113" t="str">
        <x:v>Saldo Negativo</x:v>
      </x:c>
      <x:c r="H4" s="122" t="str">
        <x:v>Atestados (min)</x:v>
      </x:c>
      <x:c r="I4" s="122" t="str">
        <x:v>Horas abonadas</x:v>
      </x:c>
      <x:c r="J4" s="122" t="str">
        <x:v>Dias justificadas</x:v>
      </x:c>
    </x:row>
    <x:row r="5">
      <x:c r="A5" t="str">
        <x:v>2025-03</x:v>
      </x:c>
      <x:c r="B5" t="n">
        <x:f>SUMIF('Espelho completo (simulado)'!$R$5:$R$473,A5,'Espelho completo (simulado)'!$K$5:$K$473)</x:f>
        <x:v>10376</x:v>
      </x:c>
      <x:c r="C5" t="n">
        <x:f>SUMIF('Espelho completo (simulado)'!$R$5:$R$473,A5,'Espelho completo (simulado)'!$N$5:$N$473)</x:f>
        <x:v>261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172:56</x:v>
      </x:c>
      <x:c r="F5" t="str">
        <x:f>TEXT(INT(C5/60),"00")&amp;":"&amp;TEXT(MOD(C5,60),"00")</x:f>
        <x:v>04:21</x:v>
      </x:c>
      <x:c r="G5" t="str">
        <x:f>TEXT(INT(D5/60),"00")&amp;":"&amp;TEXT(MOD(D5,60),"00")</x:f>
        <x:v>01:25</x:v>
      </x:c>
      <x:c r="H5" t="n">
        <x:f>SUMIF('Espelho completo (simulado)'!$R$5:$R$473,A5,'Espelho completo (simulado)'!$S$5:$S$473)</x:f>
        <x:v>0</x:v>
      </x:c>
      <x:c r="I5" t="str">
        <x:f>TEXT(INT(H5/60),"00")&amp;":"&amp;TEXT(MOD(H5,60),"00")</x:f>
        <x:v>00:00</x:v>
      </x:c>
      <x:c r="J5" t="n">
        <x:f>SUMIF('Espelho completo (simulado)'!$R$5:$R$473,A5,'Espelho completo (simulado)'!$W$5:$W$473)</x:f>
        <x:v>0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  <x:c r="H6" t="n">
        <x:f>SUMIF('Espelho completo (simulado)'!$R$5:$R$473,A6,'Espelho completo (simulado)'!$S$5:$S$473)</x:f>
        <x:v>0</x:v>
      </x:c>
      <x:c r="I6" t="str">
        <x:f>TEXT(INT(H6/60),"00")&amp;":"&amp;TEXT(MOD(H6,60),"00")</x:f>
        <x:v>00:00</x:v>
      </x:c>
      <x:c r="J6" t="n">
        <x:f>SUMIF('Espelho completo (simulado)'!$R$5:$R$473,A6,'Espelho completo (simulado)'!$W$5:$W$473)</x:f>
        <x:v>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  <x:c r="H7" t="n">
        <x:f>SUMIF('Espelho completo (simulado)'!$R$5:$R$473,A7,'Espelho completo (simulado)'!$S$5:$S$473)</x:f>
        <x:v>0</x:v>
      </x:c>
      <x:c r="I7" t="str">
        <x:f>TEXT(INT(H7/60),"00")&amp;":"&amp;TEXT(MOD(H7,60),"00")</x:f>
        <x:v>00:00</x:v>
      </x:c>
      <x:c r="J7" t="n">
        <x:f>SUMIF('Espelho completo (simulado)'!$R$5:$R$473,A7,'Espelho completo (simulado)'!$W$5:$W$473)</x:f>
        <x:v>0</x:v>
      </x:c>
    </x:row>
    <x:row r="8">
      <x:c r="A8" t="str">
        <x:v>2025-06</x:v>
      </x:c>
      <x:c r="B8" t="n">
        <x:f>SUMIF('Espelho completo (simulado)'!$R$5:$R$473,A8,'Espelho completo (simulado)'!$K$5:$K$473)</x:f>
        <x:v>9497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89</x:v>
      </x:c>
      <x:c r="E8" t="str">
        <x:f>TEXT(INT(B8/60),"00")&amp;":"&amp;TEXT(MOD(B8,60),"00")</x:f>
        <x:v>158:17</x:v>
      </x:c>
      <x:c r="F8" t="str">
        <x:f>TEXT(INT(C8/60),"00")&amp;":"&amp;TEXT(MOD(C8,60),"00")</x:f>
        <x:v>01:06</x:v>
      </x:c>
      <x:c r="G8" t="str">
        <x:f>TEXT(INT(D8/60),"00")&amp;":"&amp;TEXT(MOD(D8,60),"00")</x:f>
        <x:v>01:29</x:v>
      </x:c>
      <x:c r="H8" t="n">
        <x:f>SUMIF('Espelho completo (simulado)'!$R$5:$R$473,A8,'Espelho completo (simulado)'!$S$5:$S$473)</x:f>
        <x:v>720</x:v>
      </x:c>
      <x:c r="I8" t="str">
        <x:f>TEXT(INT(H8/60),"00")&amp;":"&amp;TEXT(MOD(H8,60),"00")</x:f>
        <x:v>12:00</x:v>
      </x:c>
      <x:c r="J8" t="n">
        <x:f>SUMIF('Espelho completo (simulado)'!$R$5:$R$473,A8,'Espelho completo (simulado)'!$W$5:$W$473)</x:f>
        <x:v>2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  <x:c r="H9" t="n">
        <x:f>SUMIF('Espelho completo (simulado)'!$R$5:$R$473,A9,'Espelho completo (simulado)'!$S$5:$S$473)</x:f>
        <x:v>0</x:v>
      </x:c>
      <x:c r="I9" t="str">
        <x:f>TEXT(INT(H9/60),"00")&amp;":"&amp;TEXT(MOD(H9,60),"00")</x:f>
        <x:v>00:00</x:v>
      </x:c>
      <x:c r="J9" t="n">
        <x:f>SUMIF('Espelho completo (simulado)'!$R$5:$R$473,A9,'Espelho completo (simulado)'!$W$5:$W$473)</x:f>
        <x:v>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  <x:c r="H10" t="n">
        <x:f>SUMIF('Espelho completo (simulado)'!$R$5:$R$473,A10,'Espelho completo (simulado)'!$S$5:$S$473)</x:f>
        <x:v>0</x:v>
      </x:c>
      <x:c r="I10" t="str">
        <x:f>TEXT(INT(H10/60),"00")&amp;":"&amp;TEXT(MOD(H10,60),"00")</x:f>
        <x:v>00:00</x:v>
      </x:c>
      <x:c r="J10" t="n">
        <x:f>SUMIF('Espelho completo (simulado)'!$R$5:$R$473,A10,'Espelho completo (simulado)'!$W$5:$W$473)</x:f>
        <x:v>0</x:v>
      </x:c>
    </x:row>
    <x:row r="11">
      <x:c r="A11" t="str">
        <x:v>2025-09</x:v>
      </x:c>
      <x:c r="B11" t="n">
        <x:f>SUMIF('Espelho completo (simulado)'!$R$5:$R$473,A11,'Espelho completo (simulado)'!$K$5:$K$473)</x:f>
        <x:v>10798</x:v>
      </x:c>
      <x:c r="C11" t="n">
        <x:f>SUMIF('Espelho completo (simulado)'!$R$5:$R$473,A11,'Espelho completo (simulado)'!$N$5:$N$473)</x:f>
        <x:v>277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179:58</x:v>
      </x:c>
      <x:c r="F11" t="str">
        <x:f>TEXT(INT(C11/60),"00")&amp;":"&amp;TEXT(MOD(C11,60),"00")</x:f>
        <x:v>04:37</x:v>
      </x:c>
      <x:c r="G11" t="str">
        <x:f>TEXT(INT(D11/60),"00")&amp;":"&amp;TEXT(MOD(D11,60),"00")</x:f>
        <x:v>01:59</x:v>
      </x:c>
      <x:c r="H11" t="n">
        <x:f>SUMIF('Espelho completo (simulado)'!$R$5:$R$473,A11,'Espelho completo (simulado)'!$S$5:$S$473)</x:f>
        <x:v>0</x:v>
      </x:c>
      <x:c r="I11" t="str">
        <x:f>TEXT(INT(H11/60),"00")&amp;":"&amp;TEXT(MOD(H11,60),"00")</x:f>
        <x:v>00:00</x:v>
      </x:c>
      <x:c r="J11" t="n">
        <x:f>SUMIF('Espelho completo (simulado)'!$R$5:$R$473,A11,'Espelho completo (simulado)'!$W$5:$W$473)</x:f>
        <x:v>0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  <x:c r="H12" t="n">
        <x:f>SUMIF('Espelho completo (simulado)'!$R$5:$R$473,A12,'Espelho completo (simulado)'!$S$5:$S$473)</x:f>
        <x:v>0</x:v>
      </x:c>
      <x:c r="I12" t="str">
        <x:f>TEXT(INT(H12/60),"00")&amp;":"&amp;TEXT(MOD(H12,60),"00")</x:f>
        <x:v>00:00</x:v>
      </x:c>
      <x:c r="J12" t="n">
        <x:f>SUMIF('Espelho completo (simulado)'!$R$5:$R$473,A12,'Espelho completo (simulado)'!$W$5:$W$473)</x:f>
        <x:v>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  <x:c r="H13" t="n">
        <x:f>SUMIF('Espelho completo (simulado)'!$R$5:$R$473,A13,'Espelho completo (simulado)'!$S$5:$S$473)</x:f>
        <x:v>0</x:v>
      </x:c>
      <x:c r="I13" t="str">
        <x:f>TEXT(INT(H13/60),"00")&amp;":"&amp;TEXT(MOD(H13,60),"00")</x:f>
        <x:v>00:00</x:v>
      </x:c>
      <x:c r="J13" t="n">
        <x:f>SUMIF('Espelho completo (simulado)'!$R$5:$R$473,A13,'Espelho completo (simulado)'!$W$5:$W$473)</x:f>
        <x:v>0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  <x:c r="H14" t="n">
        <x:f>SUMIF('Espelho completo (simulado)'!$R$5:$R$473,A14,'Espelho completo (simulado)'!$S$5:$S$473)</x:f>
        <x:v>0</x:v>
      </x:c>
      <x:c r="I14" t="str">
        <x:f>TEXT(INT(H14/60),"00")&amp;":"&amp;TEXT(MOD(H14,60),"00")</x:f>
        <x:v>00:00</x:v>
      </x:c>
      <x:c r="J14" t="n">
        <x:f>SUMIF('Espelho completo (simulado)'!$R$5:$R$473,A14,'Espelho completo (simulado)'!$W$5:$W$473)</x:f>
        <x:v>0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  <x:c r="H15" t="n">
        <x:f>SUMIF('Espelho completo (simulado)'!$R$5:$R$473,A15,'Espelho completo (simulado)'!$S$5:$S$473)</x:f>
        <x:v>0</x:v>
      </x:c>
      <x:c r="I15" t="str">
        <x:f>TEXT(INT(H15/60),"00")&amp;":"&amp;TEXT(MOD(H15,60),"00")</x:f>
        <x:v>00:00</x:v>
      </x:c>
      <x:c r="J15" t="n">
        <x:f>SUMIF('Espelho completo (simulado)'!$R$5:$R$473,A15,'Espelho completo (simulado)'!$W$5:$W$473)</x:f>
        <x:v>0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  <x:c r="H16" t="n">
        <x:f>SUMIF('Espelho completo (simulado)'!$R$5:$R$473,A16,'Espelho completo (simulado)'!$S$5:$S$473)</x:f>
        <x:v>0</x:v>
      </x:c>
      <x:c r="I16" t="str">
        <x:f>TEXT(INT(H16/60),"00")&amp;":"&amp;TEXT(MOD(H16,60),"00")</x:f>
        <x:v>00:00</x:v>
      </x:c>
      <x:c r="J16" t="n">
        <x:f>SUMIF('Espelho completo (simulado)'!$R$5:$R$473,A16,'Espelho completo (simulado)'!$W$5:$W$473)</x:f>
        <x:v>0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  <x:c r="H17" t="n">
        <x:f>SUMIF('Espelho completo (simulado)'!$R$5:$R$473,A17,'Espelho completo (simulado)'!$S$5:$S$473)</x:f>
        <x:v>0</x:v>
      </x:c>
      <x:c r="I17" t="str">
        <x:f>TEXT(INT(H17/60),"00")&amp;":"&amp;TEXT(MOD(H17,60),"00")</x:f>
        <x:v>00:00</x:v>
      </x:c>
      <x:c r="J17" t="n">
        <x:f>SUMIF('Espelho completo (simulado)'!$R$5:$R$473,A17,'Espelho completo (simulado)'!$W$5:$W$473)</x:f>
        <x:v>0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  <x:c r="H18" t="n">
        <x:f>SUMIF('Espelho completo (simulado)'!$R$5:$R$473,A18,'Espelho completo (simulado)'!$S$5:$S$473)</x:f>
        <x:v>0</x:v>
      </x:c>
      <x:c r="I18" t="str">
        <x:f>TEXT(INT(H18/60),"00")&amp;":"&amp;TEXT(MOD(H18,60),"00")</x:f>
        <x:v>00:00</x:v>
      </x:c>
      <x:c r="J18" t="n">
        <x:f>SUMIF('Espelho completo (simulado)'!$R$5:$R$473,A18,'Espelho completo (simulado)'!$W$5:$W$473)</x:f>
        <x:v>0</x:v>
      </x:c>
    </x:row>
    <x:row r="19">
      <x:c r="A19" t="str">
        <x:v>2026-05</x:v>
      </x:c>
      <x:c r="B19" t="n">
        <x:f>SUMIF('Espelho completo (simulado)'!$R$5:$R$473,A19,'Espelho completo (simulado)'!$K$5:$K$473)</x:f>
        <x:v>10598</x:v>
      </x:c>
      <x:c r="C19" t="n">
        <x:f>SUMIF('Espelho completo (simulado)'!$R$5:$R$473,A19,'Espelho completo (simulado)'!$N$5:$N$473)</x:f>
        <x:v>280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176:38</x:v>
      </x:c>
      <x:c r="F19" t="str">
        <x:f>TEXT(INT(C19/60),"00")&amp;":"&amp;TEXT(MOD(C19,60),"00")</x:f>
        <x:v>04:40</x:v>
      </x:c>
      <x:c r="G19" t="str">
        <x:f>TEXT(INT(D19/60),"00")&amp;":"&amp;TEXT(MOD(D19,60),"00")</x:f>
        <x:v>02:02</x:v>
      </x:c>
      <x:c r="H19" t="n">
        <x:f>SUMIF('Espelho completo (simulado)'!$R$5:$R$473,A19,'Espelho completo (simulado)'!$S$5:$S$473)</x:f>
        <x:v>0</x:v>
      </x:c>
      <x:c r="I19" t="str">
        <x:f>TEXT(INT(H19/60),"00")&amp;":"&amp;TEXT(MOD(H19,60),"00")</x:f>
        <x:v>00:00</x:v>
      </x:c>
      <x:c r="J19" t="n">
        <x:f>SUMIF('Espelho completo (simulado)'!$R$5:$R$473,A19,'Espelho completo (simulado)'!$W$5:$W$473)</x:f>
        <x:v>0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  <x:c r="H20" t="n">
        <x:f>SUMIF('Espelho completo (simulado)'!$R$5:$R$473,A20,'Espelho completo (simulado)'!$S$5:$S$473)</x:f>
        <x:v>0</x:v>
      </x:c>
      <x:c r="I20" t="str">
        <x:f>TEXT(INT(H20/60),"00")&amp;":"&amp;TEXT(MOD(H20,60),"00")</x:f>
        <x:v>00:00</x:v>
      </x:c>
      <x:c r="J20" t="n">
        <x:f>SUMIF('Espelho completo (simulado)'!$R$5:$R$473,A20,'Espelho completo (simulado)'!$W$5:$W$473)</x:f>
        <x:v>0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  <x:c r="H21" t="n">
        <x:f>SUMIF('Espelho completo (simulado)'!$R$5:$R$473,A21,'Espelho completo (simulado)'!$S$5:$S$473)</x:f>
        <x:v>0</x:v>
      </x:c>
      <x:c r="I21" t="str">
        <x:f>TEXT(INT(H21/60),"00")&amp;":"&amp;TEXT(MOD(H21,60),"00")</x:f>
        <x:v>00:00</x:v>
      </x:c>
      <x:c r="J21" t="n">
        <x:f>SUMIF('Espelho completo (simulado)'!$R$5:$R$473,A21,'Espelho completo (simulado)'!$W$5:$W$473)</x:f>
        <x:v>0</x:v>
      </x:c>
    </x:row>
    <x:row r="22">
      <x:c r="A22" t="str">
        <x:v>2026-08</x:v>
      </x:c>
      <x:c r="B22" t="n">
        <x:f>SUMIF('Espelho completo (simulado)'!$R$5:$R$473,A22,'Espelho completo (simulado)'!$K$5:$K$473)</x:f>
        <x:v>10609</x:v>
      </x:c>
      <x:c r="C22" t="n">
        <x:f>SUMIF('Espelho completo (simulado)'!$R$5:$R$473,A22,'Espelho completo (simulado)'!$N$5:$N$473)</x:f>
        <x:v>253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176:49</x:v>
      </x:c>
      <x:c r="F22" t="str">
        <x:f>TEXT(INT(C22/60),"00")&amp;":"&amp;TEXT(MOD(C22,60),"00")</x:f>
        <x:v>04:13</x:v>
      </x:c>
      <x:c r="G22" t="str">
        <x:f>TEXT(INT(D22/60),"00")&amp;":"&amp;TEXT(MOD(D22,60),"00")</x:f>
        <x:v>01:24</x:v>
      </x:c>
      <x:c r="H22" t="n">
        <x:f>SUMIF('Espelho completo (simulado)'!$R$5:$R$473,A22,'Espelho completo (simulado)'!$S$5:$S$473)</x:f>
        <x:v>0</x:v>
      </x:c>
      <x:c r="I22" t="str">
        <x:f>TEXT(INT(H22/60),"00")&amp;":"&amp;TEXT(MOD(H22,60),"00")</x:f>
        <x:v>00:00</x:v>
      </x:c>
      <x:c r="J22" t="n">
        <x:f>SUMIF('Espelho completo (simulado)'!$R$5:$R$473,A22,'Espelho completo (simulado)'!$W$5:$W$473)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30" hidden="0" customWidth="1"/>
    <x:col min="8" max="8" width="52" hidden="0" customWidth="1"/>
  </x:cols>
  <x:sheetData>
    <x:row r="1" ht="32" customHeight="1">
      <x:c r="A1" s="124" t="str">
        <x:v>MARINA • ATESTADO E ABONOS • 14 A 16 JUNHO DE 2025</x:v>
      </x:c>
      <x:c r="B1" s="124"/>
      <x:c r="C1" s="124"/>
      <x:c r="D1" s="124"/>
      <x:c r="E1" s="124"/>
      <x:c r="F1" s="124"/>
      <x:c r="G1" s="124"/>
      <x:c r="H1" s="124"/>
    </x:row>
    <x:row r="2" ht="36" customHeight="1">
      <x:c r="A2" s="127" t="str">
        <x:v>Informação fornecida pelo usuário para este cenário fictício. Dias abonados NÃO foram trabalhados e não geram saldo extra ou atraso; domingo é DSR.</x:v>
      </x:c>
      <x:c r="B2" s="127"/>
      <x:c r="C2" s="127"/>
      <x:c r="D2" s="127"/>
      <x:c r="E2" s="127"/>
      <x:c r="F2" s="127"/>
      <x:c r="G2" s="127"/>
      <x:c r="H2" s="127"/>
    </x:row>
    <x:row r="4" ht="27" customHeight="1">
      <x:c r="A4" s="122" t="str">
        <x:v>Data</x:v>
      </x:c>
      <x:c r="B4" s="122" t="str">
        <x:v>Dia</x:v>
      </x:c>
      <x:c r="C4" s="122" t="str">
        <x:v>Situação</x:v>
      </x:c>
      <x:c r="D4" s="122" t="str">
        <x:v>Escala prevista</x:v>
      </x:c>
      <x:c r="E4" s="122" t="str">
        <x:v>Trabalho (min)</x:v>
      </x:c>
      <x:c r="F4" s="122" t="str">
        <x:v>Abono (min)</x:v>
      </x:c>
      <x:c r="G4" s="122" t="str">
        <x:v>Fonte</x:v>
      </x:c>
      <x:c r="H4" s="122" t="str">
        <x:v>Observação</x:v>
      </x:c>
    </x:row>
    <x:row r="5">
      <x:c r="A5" s="128" t="n">
        <x:v>45822</x:v>
      </x:c>
      <x:c r="B5" s="118" t="str">
        <x:v>Sábado</x:v>
      </x:c>
      <x:c r="C5" s="118" t="str">
        <x:v>Atestado médico • ausência abonada</x:v>
      </x:c>
      <x:c r="D5" s="118" t="str">
        <x:v>13h–17h</x:v>
      </x:c>
      <x:c r="E5" s="118" t="n">
        <x:v>0</x:v>
      </x:c>
      <x:c r="F5" s="118" t="n">
        <x:v>240</x:v>
      </x:c>
      <x:c r="G5" s="118" t="str">
        <x:v>Imagem fornecida pelo usuário</x:v>
      </x:c>
      <x:c r="H5" s="118" t="str">
        <x:v>4h de abono; sem marcação de ponto</x:v>
      </x:c>
    </x:row>
    <x:row r="6">
      <x:c r="A6" s="83" t="n">
        <x:v>45823</x:v>
      </x:c>
      <x:c r="B6" t="str">
        <x:v>Domingo</x:v>
      </x:c>
      <x:c r="C6" t="str">
        <x:v>DSR • abrangido pelo atestado</x:v>
      </x:c>
      <x:c r="D6" t="str">
        <x:v>Sem expediente</x:v>
      </x:c>
      <x:c r="E6" t="n">
        <x:v>0</x:v>
      </x:c>
      <x:c r="F6" t="n">
        <x:v>0</x:v>
      </x:c>
      <x:c r="G6" t="str">
        <x:v>Imagem fornecida pelo usuário</x:v>
      </x:c>
      <x:c r="H6" t="str">
        <x:v>Não contabilizar como expediente nem abono adicional</x:v>
      </x:c>
    </x:row>
    <x:row r="7">
      <x:c r="A7" s="128" t="n">
        <x:v>45824</x:v>
      </x:c>
      <x:c r="B7" s="118" t="str">
        <x:v>Segunda-feira</x:v>
      </x:c>
      <x:c r="C7" s="118" t="str">
        <x:v>Atestado médico • ausência abonada</x:v>
      </x:c>
      <x:c r="D7" s="118" t="str">
        <x:v>13h–21h20</x:v>
      </x:c>
      <x:c r="E7" s="118" t="n">
        <x:v>0</x:v>
      </x:c>
      <x:c r="F7" s="118" t="n">
        <x:v>480</x:v>
      </x:c>
      <x:c r="G7" s="118" t="str">
        <x:v>Imagem fornecida pelo usuário</x:v>
      </x:c>
      <x:c r="H7" s="118" t="str">
        <x:v>8h de abono conforme critério solicitado; sem intervalo ou batidas</x:v>
      </x:c>
    </x:row>
    <x:row r="9" ht="26" customHeight="1">
      <x:c r="A9" s="131" t="str">
        <x:v>TOTAL: 2 expedientes justificados • 720 minutos / 12h00 abonadas • 0 horas efetivamente trabalhadas nesses dias.</x:v>
      </x:c>
      <x:c r="B9" s="131"/>
      <x:c r="C9" s="131"/>
      <x:c r="D9" s="131"/>
      <x:c r="E9" s="131"/>
      <x:c r="F9" s="131"/>
      <x:c r="G9" s="131"/>
      <x:c r="H9" s="131"/>
    </x:row>
    <x:row r="11" ht="35" customHeight="1">
      <x:c r="A11" s="134" t="str">
        <x:v>OBS.: A escala habitual de segunda-feira equivale a 7h20 líquidas. O abono de 8h usado neste exercício segue a instrução do usuário e não altera o turno cadastrado.</x:v>
      </x:c>
      <x:c r="B11" s="134"/>
      <x:c r="C11" s="134"/>
      <x:c r="D11" s="134"/>
      <x:c r="E11" s="134"/>
      <x:c r="F11" s="134"/>
      <x:c r="G11" s="134"/>
      <x:c r="H11" s="134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