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ae11e68bb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s extras e saídas" sheetId="1" r:id="R8b6eaec60fec44e3"/>
    <x:sheet xmlns:r="http://schemas.openxmlformats.org/officeDocument/2006/relationships" name="Falhas de ponto" sheetId="2" r:id="Rd1256b77479d431e"/>
    <x:sheet xmlns:r="http://schemas.openxmlformats.org/officeDocument/2006/relationships" name="Histórico das alterações" sheetId="3" r:id="R86c4487db8d84e48"/>
    <x:sheet xmlns:r="http://schemas.openxmlformats.org/officeDocument/2006/relationships" name="Verificação Súmula 338" sheetId="4" r:id="Rf45164af1c4e4c8b"/>
    <x:sheet xmlns:r="http://schemas.openxmlformats.org/officeDocument/2006/relationships" name="Espelho completo (simulado)" sheetId="5" r:id="Rab81667e91c74f4b"/>
    <x:sheet xmlns:r="http://schemas.openxmlformats.org/officeDocument/2006/relationships" name="Resumo mensal (simulado)" sheetId="6" r:id="R298a89e797f6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DD/MM/YYYY"/>
    <x:numFmt numFmtId="165" formatCode="HH:MM"/>
    <x:numFmt numFmtId="166" formatCode="[h]&quot;h &quot;mm&quot;min&quot;"/>
    <x:numFmt numFmtId="167" formatCode="dd/mm/yyyy"/>
    <x:numFmt numFmtId="168" formatCode="hh:mm"/>
    <x:numFmt numFmtId="169" formatCode="[h]:mm"/>
  </x:numFmts>
  <x:fonts count="16">
    <x:font>
      <x:sz val="11"/>
      <x:color theme="1"/>
      <x:name val="Calibri"/>
    </x:font>
    <x:font>
      <x:b/>
      <x:sz val="15"/>
      <x:color rgb="FFFFFFFF"/>
      <x:name val="Aptos Display"/>
    </x:font>
    <x:font>
      <x:i/>
      <x:sz val="10"/>
      <x:color rgb="FF7F6000"/>
      <x:name val="Aptos"/>
    </x:font>
    <x:font>
      <x:b/>
      <x:sz val="10"/>
      <x:color rgb="FFFFFFFF"/>
    </x:font>
    <x:font>
      <x:sz val="10"/>
      <x:color rgb="FF222222"/>
      <x:name val="Aptos"/>
    </x:font>
    <x:font>
      <x:b/>
      <x:sz val="10"/>
      <x:color rgb="FF17365D"/>
    </x:font>
    <x:font>
      <x:i/>
      <x:sz val="10"/>
      <x:color rgb="FF404040"/>
      <x:name val="Aptos"/>
    </x:font>
    <x:font>
      <x:b/>
      <x:color rgb="FFFFFFFF"/>
    </x:font>
    <x:font>
      <x:sz val="10"/>
      <x:color rgb="FF202020"/>
      <x:name val="Aptos"/>
    </x:font>
    <x:font>
      <x:b/>
      <x:sz val="11"/>
      <x:color rgb="FFFFFFFF"/>
      <x:name val="Calibri"/>
    </x:font>
    <x:font>
      <x:b/>
      <x:sz val="11"/>
      <x:color rgb="FF17315D"/>
      <x:name val="Calibri"/>
    </x:font>
    <x:font>
      <x:b/>
      <x:sz val="15"/>
      <x:color rgb="FFFFFFFF"/>
      <x:name val="Calibri"/>
    </x:font>
    <x:font>
      <x:sz val="10"/>
      <x:color rgb="FF8A4D0F"/>
      <x:name val="Calibri"/>
    </x:font>
    <x:font>
      <x:sz val="10"/>
      <x:color rgb="FF26415F"/>
      <x:name val="Calibri"/>
    </x:font>
    <x:font>
      <x:b/>
      <x:sz val="10"/>
      <x:color rgb="FFFFFFFF"/>
      <x:name val="Calibri"/>
    </x:font>
    <x:font>
      <x:b/>
      <x:sz val="14"/>
      <x:color rgb="FFFFFFFF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D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7FBFD"/>
      </x:patternFill>
    </x:fill>
    <x:fill>
      <x:patternFill patternType="solid">
        <x:fgColor rgb="FF0F766E"/>
      </x:patternFill>
    </x:fill>
    <x:fill>
      <x:patternFill patternType="solid">
        <x:fgColor rgb="FF17315D"/>
      </x:patternFill>
    </x:fill>
    <x:fill>
      <x:patternFill patternType="solid">
        <x:fgColor rgb="FFDCE8F6"/>
      </x:patternFill>
    </x:fill>
    <x:fill>
      <x:patternFill patternType="solid">
        <x:fgColor rgb="FF17365D"/>
      </x:patternFill>
    </x:fill>
    <x:fill>
      <x:patternFill patternType="solid">
        <x:fgColor rgb="FFFFF4D6"/>
      </x:patternFill>
    </x:fill>
    <x:fill>
      <x:patternFill patternType="solid">
        <x:fgColor rgb="FFEAF1F8"/>
      </x:patternFill>
    </x:fill>
    <x:fill>
      <x:patternFill patternType="solid">
        <x:fgColor rgb="FF2B507A"/>
      </x:patternFill>
    </x:fill>
  </x:fills>
  <x:borders count="5">
    <x:border/>
    <x:border>
      <x:bottom style="medium">
        <x:color rgb="FF17365D"/>
      </x:bottom>
    </x:border>
    <x:border>
      <x:bottom style="thin">
        <x:color rgb="FFD9E1F2"/>
      </x:bottom>
    </x:border>
    <x:border>
      <x:bottom style="medium">
        <x:color rgb="FFFFFFFF"/>
      </x:bottom>
    </x:border>
    <x:border/>
  </x:borders>
  <x:cellStyleXfs count="1">
    <x:xf numFmtId="0" fontId="0" fillId="0" borderId="0"/>
  </x:cellStyleXfs>
  <x:cellXfs count="115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4" borderId="1" xfId="0" applyAlignment="1">
      <x:alignment horizontal="center" vertical="center" wrapText="1"/>
    </x:xf>
    <x:xf numFmtId="164" fontId="4" fillId="5" borderId="2" xfId="0" applyAlignment="1">
      <x:alignment vertical="top" wrapText="1"/>
    </x:xf>
    <x:xf numFmtId="0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0" fontId="5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4" fillId="3" borderId="2" xfId="0" applyAlignment="1">
      <x:alignment vertical="top" wrapText="1"/>
    </x:xf>
    <x:xf numFmtId="0" fontId="5" fillId="3" borderId="2" xfId="0" applyAlignment="1">
      <x:alignment vertical="top" wrapText="1"/>
    </x:xf>
    <x:xf numFmtId="164" fontId="4" fillId="5" borderId="2" xfId="0" applyAlignment="1">
      <x:alignment vertical="top" wrapText="1"/>
    </x:xf>
    <x:xf numFmtId="165" fontId="4" fillId="5" borderId="2" xfId="0" applyAlignment="1">
      <x:alignment vertical="top" wrapText="1"/>
    </x:xf>
    <x:xf numFmtId="166" fontId="4" fillId="5" borderId="2" xfId="0" applyAlignment="1">
      <x:alignment vertical="top" wrapText="1"/>
    </x:xf>
    <x:xf numFmtId="164" fontId="4" fillId="3" borderId="2" xfId="0" applyAlignment="1">
      <x:alignment vertical="top" wrapText="1"/>
    </x:xf>
    <x:xf numFmtId="0" fontId="1" fillId="2" borderId="0" xfId="0" applyAlignment="1">
      <x:alignment horizontal="left" vertical="center"/>
    </x:xf>
    <x:xf numFmtId="0" fontId="6" fillId="7" borderId="0" xfId="0" applyAlignment="1">
      <x:alignment vertical="center" wrapText="1"/>
    </x:xf>
    <x:xf numFmtId="0" fontId="7" fillId="2" borderId="3" xfId="0" applyAlignment="1">
      <x:alignment horizontal="center" vertical="center" wrapText="1"/>
    </x:xf>
    <x:xf numFmtId="167" fontId="8" fillId="8" borderId="2" xfId="0" applyAlignment="1">
      <x:alignment vertical="top"/>
    </x:xf>
    <x:xf numFmtId="0" fontId="8" fillId="8" borderId="2" xfId="0" applyAlignment="1">
      <x:alignment vertical="top"/>
    </x:xf>
    <x:xf numFmtId="168" fontId="8" fillId="8" borderId="2" xfId="0" applyAlignment="1">
      <x:alignment vertical="top"/>
    </x:xf>
    <x:xf numFmtId="0" fontId="8" fillId="8" borderId="2" xfId="0" applyAlignment="1">
      <x:alignment vertical="top" wrapText="1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0" fontId="8" fillId="3" borderId="2" xfId="0" applyAlignment="1">
      <x:alignment vertical="top"/>
    </x:xf>
    <x:xf numFmtId="168" fontId="8" fillId="3" borderId="2" xfId="0" applyAlignment="1">
      <x:alignment vertical="top"/>
    </x:xf>
    <x:xf numFmtId="0" fontId="8" fillId="3" borderId="2" xfId="0" applyAlignment="1">
      <x:alignment vertical="top" wrapText="1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0" fontId="8" fillId="9" borderId="2" xfId="0" applyAlignment="1">
      <x:alignment vertical="top"/>
    </x:xf>
    <x:xf numFmtId="168" fontId="8" fillId="9" borderId="2" xfId="0" applyAlignment="1">
      <x:alignment vertical="top"/>
    </x:xf>
    <x:xf numFmtId="0" fontId="8" fillId="9" borderId="2" xfId="0" applyAlignment="1">
      <x:alignment vertical="top" wrapText="1"/>
    </x:xf>
    <x:xf numFmtId="169" fontId="8" fillId="9" borderId="2" xfId="0" applyAlignment="1">
      <x:alignment vertical="top"/>
    </x:xf>
    <x:xf numFmtId="0" fontId="7" fillId="2" borderId="1" xfId="0" applyAlignment="1">
      <x:alignment horizontal="center" vertical="center" wrapText="1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8" fillId="5" borderId="2" xfId="0" applyAlignment="1">
      <x:alignment vertical="top" wrapText="1"/>
    </x:xf>
    <x:xf numFmtId="167" fontId="8" fillId="8" borderId="2" xfId="0" applyAlignment="1">
      <x:alignment vertical="top"/>
    </x:xf>
    <x:xf numFmtId="168" fontId="8" fillId="8" borderId="2" xfId="0" applyAlignment="1">
      <x:alignment vertical="top"/>
    </x:xf>
    <x:xf numFmtId="169" fontId="8" fillId="8" borderId="2" xfId="0" applyAlignment="1">
      <x:alignment vertical="top"/>
    </x:xf>
    <x:xf numFmtId="167" fontId="8" fillId="3" borderId="2" xfId="0" applyAlignment="1">
      <x:alignment vertical="top"/>
    </x:xf>
    <x:xf numFmtId="168" fontId="8" fillId="3" borderId="2" xfId="0" applyAlignment="1">
      <x:alignment vertical="top"/>
    </x:xf>
    <x:xf numFmtId="169" fontId="8" fillId="3" borderId="2" xfId="0" applyAlignment="1">
      <x:alignment vertical="top"/>
    </x:xf>
    <x:xf numFmtId="167" fontId="8" fillId="9" borderId="2" xfId="0" applyAlignment="1">
      <x:alignment vertical="top"/>
    </x:xf>
    <x:xf numFmtId="168" fontId="8" fillId="9" borderId="2" xfId="0" applyAlignment="1">
      <x:alignment vertical="top"/>
    </x:xf>
    <x:xf numFmtId="169" fontId="8" fillId="9" borderId="2" xfId="0" applyAlignment="1">
      <x:alignment vertical="top"/>
    </x:xf>
    <x:xf numFmtId="167" fontId="8" fillId="3" borderId="2" xfId="0" applyAlignment="1">
      <x:alignment vertical="top" wrapText="1"/>
    </x:xf>
    <x:xf numFmtId="167" fontId="8" fillId="5" borderId="2" xfId="0" applyAlignment="1">
      <x:alignment vertical="top" wrapText="1"/>
    </x:xf>
    <x:xf numFmtId="0" fontId="0" fillId="0" borderId="4" xfId="0" applyNumberFormat="1" applyFont="1" applyFill="1" applyBorder="1"/>
    <x:xf numFmtId="0" fontId="1" fillId="2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164" fontId="4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165" fontId="4" fillId="5" borderId="2" xfId="0" applyNumberFormat="1" applyFont="1" applyFill="1" applyBorder="1" applyAlignment="1">
      <x:alignment vertical="top" wrapText="1"/>
    </x:xf>
    <x:xf numFmtId="166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164" fontId="4" fillId="3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left" vertical="center"/>
    </x:xf>
    <x:xf numFmtId="0" fontId="6" fillId="7" borderId="4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167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/>
    </x:xf>
    <x:xf numFmtId="168" fontId="8" fillId="8" borderId="2" xfId="0" applyNumberFormat="1" applyFont="1" applyFill="1" applyBorder="1" applyAlignment="1">
      <x:alignment vertical="top"/>
    </x:xf>
    <x:xf numFmtId="0" fontId="8" fillId="8" borderId="2" xfId="0" applyNumberFormat="1" applyFont="1" applyFill="1" applyBorder="1" applyAlignment="1">
      <x:alignment vertical="top" wrapText="1"/>
    </x:xf>
    <x:xf numFmtId="169" fontId="8" fillId="8" borderId="2" xfId="0" applyNumberFormat="1" applyFont="1" applyFill="1" applyBorder="1" applyAlignment="1">
      <x:alignment vertical="top"/>
    </x:xf>
    <x:xf numFmtId="167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/>
    </x:xf>
    <x:xf numFmtId="168" fontId="8" fillId="3" borderId="2" xfId="0" applyNumberFormat="1" applyFont="1" applyFill="1" applyBorder="1" applyAlignment="1">
      <x:alignment vertical="top"/>
    </x:xf>
    <x:xf numFmtId="0" fontId="8" fillId="3" borderId="2" xfId="0" applyNumberFormat="1" applyFont="1" applyFill="1" applyBorder="1" applyAlignment="1">
      <x:alignment vertical="top" wrapText="1"/>
    </x:xf>
    <x:xf numFmtId="169" fontId="8" fillId="3" borderId="2" xfId="0" applyNumberFormat="1" applyFont="1" applyFill="1" applyBorder="1" applyAlignment="1">
      <x:alignment vertical="top"/>
    </x:xf>
    <x:xf numFmtId="167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/>
    </x:xf>
    <x:xf numFmtId="168" fontId="8" fillId="9" borderId="2" xfId="0" applyNumberFormat="1" applyFont="1" applyFill="1" applyBorder="1" applyAlignment="1">
      <x:alignment vertical="top"/>
    </x:xf>
    <x:xf numFmtId="0" fontId="8" fillId="9" borderId="2" xfId="0" applyNumberFormat="1" applyFont="1" applyFill="1" applyBorder="1" applyAlignment="1">
      <x:alignment vertical="top" wrapText="1"/>
    </x:xf>
    <x:xf numFmtId="169" fontId="8" fillId="9" borderId="2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horizontal="center" vertical="center" wrapText="1"/>
    </x:xf>
    <x:xf numFmtId="167" fontId="8" fillId="3" borderId="2" xfId="0" applyNumberFormat="1" applyFont="1" applyFill="1" applyBorder="1" applyAlignment="1">
      <x:alignment vertical="top" wrapText="1"/>
    </x:xf>
    <x:xf numFmtId="167" fontId="8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167" fontId="0" fillId="0" borderId="0" xfId="0" applyNumberFormat="1" applyFont="1" applyFill="1" applyBorder="1"/>
    <x:xf numFmtId="167" fontId="0" fillId="0" borderId="4" xfId="0" applyNumberFormat="1" applyFont="1" applyFill="1" applyBorder="1"/>
    <x:xf numFmtId="168" fontId="0" fillId="0" borderId="0" xfId="0" applyNumberFormat="1" applyFont="1" applyFill="1" applyBorder="1"/>
    <x:xf numFmtId="168" fontId="0" fillId="0" borderId="4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0" borderId="4" xfId="0" applyNumberFormat="1" applyFont="1" applyFill="1" applyBorder="1"/>
    <x:xf numFmtId="0" fontId="9" fillId="10" borderId="4" xfId="0" applyNumberFormat="1" applyFont="1" applyFill="1" applyBorder="1"/>
    <x:xf numFmtId="0" fontId="9" fillId="1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5" fillId="1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3ed8aebe6498c" /><Relationship Type="http://schemas.openxmlformats.org/officeDocument/2006/relationships/theme" Target="/xl/theme/theme1.xml" Id="Rd3beee3421774b5f" /><Relationship Type="http://schemas.openxmlformats.org/officeDocument/2006/relationships/sharedStrings" Target="/xl/sharedStrings.xml" Id="R5d8023d5cb3c4da2" /><Relationship Type="http://schemas.openxmlformats.org/officeDocument/2006/relationships/worksheet" Target="/xl/worksheets/sheet1.xml" Id="R8b6eaec60fec44e3" /><Relationship Type="http://schemas.openxmlformats.org/officeDocument/2006/relationships/worksheet" Target="/xl/worksheets/sheet2.xml" Id="Rd1256b77479d431e" /><Relationship Type="http://schemas.openxmlformats.org/officeDocument/2006/relationships/worksheet" Target="/xl/worksheets/sheet3.xml" Id="R86c4487db8d84e48" /><Relationship Type="http://schemas.openxmlformats.org/officeDocument/2006/relationships/worksheet" Target="/xl/worksheets/sheet4.xml" Id="Rf45164af1c4e4c8b" /><Relationship Type="http://schemas.openxmlformats.org/officeDocument/2006/relationships/worksheet" Target="/xl/worksheets/sheet5.xml" Id="Rab81667e91c74f4b" /><Relationship Type="http://schemas.openxmlformats.org/officeDocument/2006/relationships/worksheet" Target="/xl/worksheets/sheet6.xml" Id="R298a89e797f64042" /></Relationships>
</file>

<file path=xl/tables/table1.xml><?xml version="1.0" encoding="utf-8"?>
<x:table xmlns:x="http://schemas.openxmlformats.org/spreadsheetml/2006/main" id="1" name="TabelaHoras" displayName="TabelaHoras" ref="A4:L114" headerRowCount="1">
  <x:autoFilter ref="A4:L114"/>
  <x:tableColumns count="12">
    <x:tableColumn id="1" name="Data"/>
    <x:tableColumn id="2" name="Dia da semana"/>
    <x:tableColumn id="3" name="Entrada"/>
    <x:tableColumn id="4" name="Início do intervalo"/>
    <x:tableColumn id="5" name="Fim do intervalo"/>
    <x:tableColumn id="6" name="Saída efetiva"/>
    <x:tableColumn id="7" name="Jornada normal de referência"/>
    <x:tableColumn id="8" name="Início da conferência"/>
    <x:tableColumn id="9" name="Fim da conferência"/>
    <x:tableColumn id="10" name="Tempo transcorrido após fim normal"/>
    <x:tableColumn id="11" name="Classificação da informação"/>
    <x:tableColumn id="12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Falhas" displayName="TabelaFalhas" ref="A4:I59" headerRowCount="1">
  <x:autoFilter ref="A4:I59"/>
  <x:tableColumns count="9">
    <x:tableColumn id="1" name="Data"/>
    <x:tableColumn id="2" name="Dia da semana"/>
    <x:tableColumn id="3" name="Tipo de batida não registrada"/>
    <x:tableColumn id="4" name="Horário previsto afetado"/>
    <x:tableColumn id="5" name="Motivo da falha"/>
    <x:tableColumn id="6" name="Observação para lançamento/ajuste manual"/>
    <x:tableColumn id="7" name="Responsável pelo ajuste"/>
    <x:tableColumn id="8" name="Origem do registro"/>
    <x:tableColumn id="9" name="Limitação / nota de consist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48fe9f0c264a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97d50760834c9f" /></Relationships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12" customWidth="1"/>
    <x:col min="4" max="4" width="17" customWidth="1"/>
    <x:col min="5" max="5" width="16" customWidth="1"/>
    <x:col min="6" max="6" width="22" customWidth="1"/>
    <x:col min="7" max="7" width="33" customWidth="1"/>
    <x:col min="8" max="8" width="18" customWidth="1"/>
    <x:col min="9" max="9" width="18" customWidth="1"/>
    <x:col min="10" max="10" width="22" customWidth="1"/>
    <x:col min="11" max="11" width="39" customWidth="1"/>
    <x:col min="12" max="12" width="75" customWidth="1"/>
  </x:cols>
  <x:sheetData>
    <x:row r="1" ht="30" customHeight="1">
      <x:c r="A1" s="16" t="str">
        <x:v>JORNADA DE MARINA — CONFERÊNCIAS E SAÍDAS (BASE REVISADA)</x:v>
      </x:c>
    </x:row>
    <x:row r="2" ht="50" customHeight="1">
      <x:c r="A2" s="17" t="str">
        <x:v>Dados demonstrativos/revisados (não são comprovantes de batida). Entradas e saídas devem corresponder aos registros originais; horários regulares da escala não devem ser apresentados como ponto efetivamente batido. Correção em 12/06/2025 informada pelo usuário, pendente de confronto com comprovante.</x:v>
      </x:c>
    </x:row>
    <x:row r="4" ht="42" customHeight="1">
      <x:c r="A4" s="18" t="inlineStr">
        <x:is>
          <x:t xml:space="preserve">Data</x:t>
        </x:is>
      </x:c>
      <x:c r="B4" s="18" t="inlineStr">
        <x:is>
          <x:t xml:space="preserve">Dia da semana</x:t>
        </x:is>
      </x:c>
      <x:c r="C4" s="18" t="inlineStr">
        <x:is>
          <x:t xml:space="preserve">Entrada</x:t>
        </x:is>
      </x:c>
      <x:c r="D4" s="18" t="inlineStr">
        <x:is>
          <x:t xml:space="preserve">Início do intervalo</x:t>
        </x:is>
      </x:c>
      <x:c r="E4" s="18" t="inlineStr">
        <x:is>
          <x:t xml:space="preserve">Fim do intervalo</x:t>
        </x:is>
      </x:c>
      <x:c r="F4" s="18" t="inlineStr">
        <x:is>
          <x:t xml:space="preserve">Saída considerada na simulação</x:t>
        </x:is>
      </x:c>
      <x:c r="G4" s="18" t="inlineStr">
        <x:is>
          <x:t xml:space="preserve">Jornada normal de referência</x:t>
        </x:is>
      </x:c>
      <x:c r="H4" s="18" t="inlineStr">
        <x:is>
          <x:t xml:space="preserve">Início da conferência</x:t>
        </x:is>
      </x:c>
      <x:c r="I4" s="18" t="inlineStr">
        <x:is>
          <x:t xml:space="preserve">Fim da conferência</x:t>
        </x:is>
      </x:c>
      <x:c r="J4" s="18" t="inlineStr">
        <x:is>
          <x:t xml:space="preserve">Tempo além da jornada normal</x:t>
        </x:is>
      </x:c>
      <x:c r="K4" s="18" t="inlineStr">
        <x:is>
          <x:t xml:space="preserve">Classificação do registro</x:t>
        </x:is>
      </x:c>
      <x:c r="L4" s="18" t="inlineStr">
        <x:is>
          <x:t xml:space="preserve">Observações</x:t>
        </x:is>
      </x:c>
    </x:row>
    <x:row r="5" ht="55" customHeight="1">
      <x:c r="A5" s="38" t="n">
        <x:v>45729</x:v>
      </x:c>
      <x:c r="B5" s="20" t="str">
        <x:v>quinta-feira</x:v>
      </x:c>
      <x:c r="C5" s="39" t="n">
        <x:v>0.5395833333333333</x:v>
      </x:c>
      <x:c r="D5" s="39" t="n">
        <x:v>0.6840277777777778</x:v>
      </x:c>
      <x:c r="E5" s="39" t="n">
        <x:v>0.7256944444444444</x:v>
      </x:c>
      <x:c r="F5" s="39" t="n">
        <x:v>0.8875</x:v>
      </x:c>
      <x:c r="G5" s="22" t="str">
        <x:v>Segunda a sexta: entrada por volta de 13h; intervalo de cerca de 1 hora; saída habitual por volta de 21h20</x:v>
      </x:c>
      <x:c r="H5" s="39" t="n">
        <x:v>0.8791666666666667</x:v>
      </x:c>
      <x:c r="I5" s="39" t="n">
        <x:v>0.8847222222222222</x:v>
      </x:c>
      <x:c r="J5" s="40" t="n">
        <x:v>0</x:v>
      </x:c>
      <x:c r="K5" s="22" t="str">
        <x:v>Conferência alinhada à planilha-base</x:v>
      </x:c>
      <x:c r="L5" s="22" t="str">
        <x:v>Data e horários de conferência/saída conferidos com a aba “CONFERÊNCIA DE CAIXA” da planilha-base: conferência 21:06–21:14; saída 21:18. Horários de entrada e intervalo permanecem como dados ilustrativos desta simulação.</x:v>
      </x:c>
    </x:row>
    <x:row r="6" ht="55" customHeight="1">
      <x:c r="A6" s="41" t="n">
        <x:v>45731</x:v>
      </x:c>
      <x:c r="B6" s="25" t="str">
        <x:v>sábado</x:v>
      </x:c>
      <x:c r="C6" s="42" t="n">
        <x:v>0.5451388888888888</x:v>
      </x:c>
      <x:c r="D6" s="42" t="n">
        <x:v>0.6458333333333334</x:v>
      </x:c>
      <x:c r="E6" s="42" t="n">
        <x:v>0.6875</x:v>
      </x:c>
      <x:c r="F6" s="42" t="n">
        <x:v>0.9138888888888889</x:v>
      </x:c>
      <x:c r="G6" s="27" t="str">
        <x:v>Sábado excepcional: entrada por volta de 13h; intervalo de 1h; saída excepcional após 21h</x:v>
      </x:c>
      <x:c r="H6" s="42" t="n">
        <x:v>0.9</x:v>
      </x:c>
      <x:c r="I6" s="42" t="n">
        <x:v>0.9111111111111111</x:v>
      </x:c>
      <x:c r="J6" s="43" t="n">
        <x:v>0.20555555555555555</x:v>
      </x:c>
      <x:c r="K6" s="27" t="str">
        <x:v>Sábado excepcional — encerramento às 21h56</x:v>
      </x:c>
      <x:c r="L6" s="27" t="str">
        <x:v>Data e horários conferidos com a aba “CONFERÊNCIA DE CAIXA” da planilha-base: conferência 21:36–21:52 e saída 21:56. Jornada excepcional simulada; intervalo de 1h (15:30–16:30). Confirmar registros reais antes de qualquer conclusão sobre horas extras.</x:v>
      </x:c>
    </x:row>
    <x:row r="7" ht="55" customHeight="1">
      <x:c r="A7" s="38" t="n">
        <x:v>45736</x:v>
      </x:c>
      <x:c r="B7" s="20" t="str">
        <x:v>quinta-feira</x:v>
      </x:c>
      <x:c r="C7" s="39" t="n">
        <x:v>0.54375</x:v>
      </x:c>
      <x:c r="D7" s="39" t="n">
        <x:v>0.6840277777777778</x:v>
      </x:c>
      <x:c r="E7" s="39" t="n">
        <x:v>0.7222222222222222</x:v>
      </x:c>
      <x:c r="F7" s="39" t="n">
        <x:v>0.8888888888888888</x:v>
      </x:c>
      <x:c r="G7" s="22" t="str">
        <x:v>Segunda a sexta: entrada por volta de 13h; intervalo de cerca de 1 hora; saída habitual por volta de 21h20</x:v>
      </x:c>
      <x:c r="H7" s="39" t="n">
        <x:v>0.88125</x:v>
      </x:c>
      <x:c r="I7" s="39" t="n">
        <x:v>0.8868055555555555</x:v>
      </x:c>
      <x:c r="J7" s="40" t="n">
        <x:v>0</x:v>
      </x:c>
      <x:c r="K7" s="22" t="str">
        <x:v>Conferência alinhada à planilha-base</x:v>
      </x:c>
      <x:c r="L7" s="22" t="str">
        <x:v>Data e horários de conferência/saída conferidos com a aba “CONFERÊNCIA DE CAIXA” da planilha-base: conferência 21:09–21:17; saída 21:20. Horários de entrada e intervalo permanecem como dados ilustrativos desta simulação.</x:v>
      </x:c>
    </x:row>
    <x:row r="8" ht="55" customHeight="1">
      <x:c r="A8" s="44" t="n">
        <x:v>45742</x:v>
      </x:c>
      <x:c r="B8" s="30" t="str">
        <x:v>quarta-feira</x:v>
      </x:c>
      <x:c r="C8" s="45" t="n">
        <x:v>0.5465277777777777</x:v>
      </x:c>
      <x:c r="D8" s="45" t="n">
        <x:v>0.6875</x:v>
      </x:c>
      <x:c r="E8" s="45" t="n">
        <x:v>0.7284722222222222</x:v>
      </x:c>
      <x:c r="F8" s="45" t="n">
        <x:v>0.8895833333333333</x:v>
      </x:c>
      <x:c r="G8" s="32" t="str">
        <x:v>Segunda a sexta: entrada por volta de 13h; intervalo de cerca de 1 hora; saída habitual por volta de 21h20</x:v>
      </x:c>
      <x:c r="H8" s="45" t="n">
        <x:v>0.8805555555555555</x:v>
      </x:c>
      <x:c r="I8" s="45" t="n">
        <x:v>0.8881944444444444</x:v>
      </x:c>
      <x:c r="J8" s="46" t="n">
        <x:v>0.0006944444444444445</x:v>
      </x:c>
      <x:c r="K8" s="32" t="str">
        <x:v>Conferência alinhada à planilha-base</x:v>
      </x:c>
      <x:c r="L8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9" ht="55" customHeight="1">
      <x:c r="A9" s="38" t="n">
        <x:v>45756</x:v>
      </x:c>
      <x:c r="B9" s="20" t="str">
        <x:v>quarta-feira</x:v>
      </x:c>
      <x:c r="C9" s="39" t="n">
        <x:v>0.5430555555555555</x:v>
      </x:c>
      <x:c r="D9" s="39" t="n">
        <x:v>0.6840277777777778</x:v>
      </x:c>
      <x:c r="E9" s="39" t="n">
        <x:v>0.7256944444444444</x:v>
      </x:c>
      <x:c r="F9" s="39" t="n">
        <x:v>0.8902777777777777</x:v>
      </x:c>
      <x:c r="G9" s="22" t="str">
        <x:v>Segunda a sexta: entrada por volta de 13h; intervalo de cerca de 1 hora; saída habitual por volta de 21h20</x:v>
      </x:c>
      <x:c r="H9" s="39" t="n">
        <x:v>0.8805555555555555</x:v>
      </x:c>
      <x:c r="I9" s="39" t="n">
        <x:v>0.8875</x:v>
      </x:c>
      <x:c r="J9" s="40" t="n">
        <x:v>0.001388888888888889</x:v>
      </x:c>
      <x:c r="K9" s="22" t="str">
        <x:v>Conferência alinhada à planilha-base</x:v>
      </x:c>
      <x:c r="L9" s="22" t="str">
        <x:v>Data e horários de conferência/saída conferidos com a aba “CONFERÊNCIA DE CAIXA” da planilha-base: conferência 21:08–21:18; saída 21:22. Horários de entrada e intervalo permanecem como dados ilustrativos desta simulação.</x:v>
      </x:c>
    </x:row>
    <x:row r="10" ht="55" customHeight="1">
      <x:c r="A10" s="44" t="n">
        <x:v>45764</x:v>
      </x:c>
      <x:c r="B10" s="30" t="str">
        <x:v>quinta-feira</x:v>
      </x:c>
      <x:c r="C10" s="45" t="n">
        <x:v>0.5465277777777777</x:v>
      </x:c>
      <x:c r="D10" s="45" t="n">
        <x:v>0.6805555555555556</x:v>
      </x:c>
      <x:c r="E10" s="45" t="n">
        <x:v>0.7208333333333333</x:v>
      </x:c>
      <x:c r="F10" s="45" t="n">
        <x:v>0.8902777777777777</x:v>
      </x:c>
      <x:c r="G10" s="32" t="str">
        <x:v>Segunda a sexta: entrada por volta de 13h; intervalo de cerca de 1 hora; saída habitual por volta de 21h20</x:v>
      </x:c>
      <x:c r="H10" s="45" t="n">
        <x:v>0.8784722222222222</x:v>
      </x:c>
      <x:c r="I10" s="45" t="n">
        <x:v>0.8875</x:v>
      </x:c>
      <x:c r="J10" s="46" t="n">
        <x:v>0.001388888888888889</x:v>
      </x:c>
      <x:c r="K10" s="32" t="str">
        <x:v>Conferência alinhada à planilha-base</x:v>
      </x:c>
      <x:c r="L10" s="32" t="str">
        <x:v>Data e horários de conferência/saída conferidos com a aba “CONFERÊNCIA DE CAIXA” da planilha-base: conferência 21:05–21:18; saída 21:22. Horários de entrada e intervalo permanecem como dados ilustrativos desta simulação.</x:v>
      </x:c>
    </x:row>
    <x:row r="11" ht="55" customHeight="1">
      <x:c r="A11" s="38" t="n">
        <x:v>45770</x:v>
      </x:c>
      <x:c r="B11" s="20" t="str">
        <x:v>quarta-feira</x:v>
      </x:c>
      <x:c r="C11" s="39" t="n">
        <x:v>0.5416666666666666</x:v>
      </x:c>
      <x:c r="D11" s="39" t="n">
        <x:v>0.6666666666666666</x:v>
      </x:c>
      <x:c r="E11" s="39" t="n">
        <x:v>0.7083333333333334</x:v>
      </x:c>
      <x:c r="F11" s="39" t="n">
        <x:v>0.8895833333333333</x:v>
      </x:c>
      <x:c r="G11" s="22" t="str">
        <x:v>Segunda a sexta: entrada por volta de 13h; intervalo de cerca de 1 hora; saída habitual por volta de 21h20</x:v>
      </x:c>
      <x:c r="H11" s="39" t="n">
        <x:v>0.8791666666666667</x:v>
      </x:c>
      <x:c r="I11" s="39" t="n">
        <x:v>0.8881944444444444</x:v>
      </x:c>
      <x:c r="J11" s="40" t="n">
        <x:v>0.0006944444444444445</x:v>
      </x:c>
      <x:c r="K11" s="22" t="str">
        <x:v>Conferência alinhada à planilha-base</x:v>
      </x:c>
      <x:c r="L11" s="22" t="str">
        <x:v>Data e horários de conferência/saída conferidos com a aba “CONFERÊNCIA DE CAIXA” da planilha-base: conferência 21:06–21:19; saída 21:21. Horários de entrada e intervalo permanecem como dados ilustrativos desta simulação.</x:v>
      </x:c>
    </x:row>
    <x:row r="12" ht="55" customHeight="1">
      <x:c r="A12" s="44" t="n">
        <x:v>45792</x:v>
      </x:c>
      <x:c r="B12" s="30" t="str">
        <x:v>quinta-feira</x:v>
      </x:c>
      <x:c r="C12" s="45" t="n">
        <x:v>0.5402777777777777</x:v>
      </x:c>
      <x:c r="D12" s="45" t="n">
        <x:v>0.6944444444444444</x:v>
      </x:c>
      <x:c r="E12" s="45" t="n">
        <x:v>0.7381944444444445</x:v>
      </x:c>
      <x:c r="F12" s="45" t="n">
        <x:v>0.8875</x:v>
      </x:c>
      <x:c r="G12" s="32" t="str">
        <x:v>Segunda a sexta: entrada por volta de 13h; intervalo de cerca de 1 hora; saída habitual por volta de 21h20</x:v>
      </x:c>
      <x:c r="H12" s="45" t="n">
        <x:v>0.8770833333333333</x:v>
      </x:c>
      <x:c r="I12" s="45" t="n">
        <x:v>0.8847222222222222</x:v>
      </x:c>
      <x:c r="J12" s="46" t="n">
        <x:v>0</x:v>
      </x:c>
      <x:c r="K12" s="32" t="str">
        <x:v>Conferência alinhada à planilha-base</x:v>
      </x:c>
      <x:c r="L12" s="32" t="str">
        <x:v>Data e horários de conferência/saída conferidos com a aba “CONFERÊNCIA DE CAIXA” da planilha-base: conferência 21:03–21:14; saída 21:18. Horários de entrada e intervalo permanecem como dados ilustrativos desta simulação.</x:v>
      </x:c>
    </x:row>
    <x:row r="13" ht="55" customHeight="1">
      <x:c r="A13" s="38" t="n">
        <x:v>45805</x:v>
      </x:c>
      <x:c r="B13" s="20" t="str">
        <x:v>quarta-feira</x:v>
      </x:c>
      <x:c r="C13" s="39" t="n">
        <x:v>0.5395833333333333</x:v>
      </x:c>
      <x:c r="D13" s="39" t="n">
        <x:v>0.6840277777777778</x:v>
      </x:c>
      <x:c r="E13" s="39" t="n">
        <x:v>0.7229166666666667</x:v>
      </x:c>
      <x:c r="F13" s="39" t="n">
        <x:v>0.8888888888888888</x:v>
      </x:c>
      <x:c r="G13" s="22" t="str">
        <x:v>Segunda a sexta: entrada por volta de 13h; intervalo de cerca de 1 hora; saída habitual por volta de 21h20</x:v>
      </x:c>
      <x:c r="H13" s="39" t="n">
        <x:v>0.8784722222222222</x:v>
      </x:c>
      <x:c r="I13" s="39" t="n">
        <x:v>0.8861111111111111</x:v>
      </x:c>
      <x:c r="J13" s="40" t="n">
        <x:v>0</x:v>
      </x:c>
      <x:c r="K13" s="22" t="str">
        <x:v>Conferência alinhada à planilha-base</x:v>
      </x:c>
      <x:c r="L13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4" ht="55" customHeight="1">
      <x:c r="A14" s="44" t="n">
        <x:v>45812</x:v>
      </x:c>
      <x:c r="B14" s="30" t="str">
        <x:v>quarta-feira</x:v>
      </x:c>
      <x:c r="C14" s="45" t="n">
        <x:v>0.5423611111111111</x:v>
      </x:c>
      <x:c r="D14" s="45" t="n">
        <x:v>0.6701388888888888</x:v>
      </x:c>
      <x:c r="E14" s="45" t="n">
        <x:v>0.7118055555555556</x:v>
      </x:c>
      <x:c r="F14" s="45" t="n">
        <x:v>0.8881944444444444</x:v>
      </x:c>
      <x:c r="G14" s="32" t="str">
        <x:v>Segunda a sexta: entrada por volta de 13h; intervalo de cerca de 1 hora; saída habitual por volta de 21h20</x:v>
      </x:c>
      <x:c r="H14" s="45" t="n">
        <x:v>0.8784722222222222</x:v>
      </x:c>
      <x:c r="I14" s="45" t="n">
        <x:v>0.8868055555555555</x:v>
      </x:c>
      <x:c r="J14" s="46" t="n">
        <x:v>0</x:v>
      </x:c>
      <x:c r="K14" s="32" t="str">
        <x:v>Conferência alinhada à planilha-base</x:v>
      </x:c>
      <x:c r="L14" s="32" t="str">
        <x:v>Data e horários de conferência/saída conferidos com a aba “CONFERÊNCIA DE CAIXA” da planilha-base: conferência 21:05–21:17; saída 21:19. Horários de entrada e intervalo permanecem como dados ilustrativos desta simulação.</x:v>
      </x:c>
    </x:row>
    <x:row r="15" ht="55" customHeight="1">
      <x:c r="A15" s="41" t="n">
        <x:v>45815</x:v>
      </x:c>
      <x:c r="B15" s="25" t="str">
        <x:v>sábado</x:v>
      </x:c>
      <x:c r="C15" s="42" t="n">
        <x:v>0.5388888888888889</x:v>
      </x:c>
      <x:c r="D15" s="42"/>
      <x:c r="E15" s="42"/>
      <x:c r="F15" s="42" t="n">
        <x:v>0.7090277777777778</x:v>
      </x:c>
      <x:c r="G15" s="27" t="str">
        <x:v>Sábado: entrada por volta de 13h; saída habitual próxima das 17h; sem intervalo</x:v>
      </x:c>
      <x:c r="H15" s="42" t="n">
        <x:v>0.6986111111111111</x:v>
      </x:c>
      <x:c r="I15" s="42" t="n">
        <x:v>0.7069444444444445</x:v>
      </x:c>
      <x:c r="J15" s="43" t="n">
        <x:v>0.0006944444444444445</x:v>
      </x:c>
      <x:c r="K15" s="27" t="str">
        <x:v>Sábado; encerramento próximo ao horário habitual</x:v>
      </x:c>
      <x:c r="L15" s="27" t="str">
        <x:v>Data conferida com a aba “CONFERÊNCIA DE CAIXA” da planilha-base: conferência 16:46–16:58 e saída 17:01. Sábado normalmente sem intervalo; conferir a jornada efetiva se houver divergência com registros reais.</x:v>
      </x:c>
    </x:row>
    <x:row r="16" ht="55" customHeight="1">
      <x:c r="A16" s="44" t="n">
        <x:v>45820</x:v>
      </x:c>
      <x:c r="B16" s="30" t="str">
        <x:v>quinta-feira</x:v>
      </x:c>
      <x:c r="C16" s="45" t="n">
        <x:v>0.5416666666666666</x:v>
      </x:c>
      <x:c r="D16" s="45" t="n">
        <x:v>0.6666666666666666</x:v>
      </x:c>
      <x:c r="E16" s="45" t="n">
        <x:v>0.7083333333333334</x:v>
      </x:c>
      <x:c r="F16" s="45" t="n">
        <x:v>0.9166666666666666</x:v>
      </x:c>
      <x:c r="G16" s="32" t="str">
        <x:v>Jornada diária de referência: 7h20 de trabalho líquido. Exceção em 12/06/2025 informada pelo usuário.</x:v>
      </x:c>
      <x:c r="H16" s="45" t="n">
        <x:v>0.8777777777777778</x:v>
      </x:c>
      <x:c r="I16" s="45" t="n">
        <x:v>0.8861111111111111</x:v>
      </x:c>
      <x:c r="J16" s="46" t="n">
        <x:v>0.027777777777777776</x:v>
      </x:c>
      <x:c r="K16" s="32" t="str">
        <x:v>Prorrogação de jornada — saída às 22h00 informada para 12/06/2025</x:v>
      </x:c>
      <x:c r="L16" s="32" t="str">
        <x:v>Retificação solicitada em 22/10/2026 para a data correta 12/06/2025: 13h00, intervalo 16h00–17h00, saída 22h00, 8h00 líquidas, +00h40. Registro anterior da planilha: 13h01, intervalo 16h25–17h28, saída 21h20; conferência original 21h04–21h16. Dados anteriores preservados na aba Histórico das alterações. Confirmação depende do comprovante original de batida.</x:v>
      </x:c>
    </x:row>
    <x:row r="17" ht="55" customHeight="1">
      <x:c r="A17" s="38" t="n">
        <x:v>45821</x:v>
      </x:c>
      <x:c r="B17" s="20" t="str">
        <x:v>sexta-feira</x:v>
      </x:c>
      <x:c r="C17" s="39" t="n">
        <x:v>0.54375</x:v>
      </x:c>
      <x:c r="D17" s="39" t="n">
        <x:v>0.6770833333333334</x:v>
      </x:c>
      <x:c r="E17" s="39" t="n">
        <x:v>0.7194444444444444</x:v>
      </x:c>
      <x:c r="F17" s="39" t="n">
        <x:v>0.8895833333333333</x:v>
      </x:c>
      <x:c r="G17" s="22" t="str">
        <x:v>Segunda a sexta: entrada por volta de 13h; intervalo de cerca de 1 hora; saída habitual por volta de 21h20</x:v>
      </x:c>
      <x:c r="H17" s="39" t="n">
        <x:v>0.8819444444444444</x:v>
      </x:c>
      <x:c r="I17" s="39" t="n">
        <x:v>0.8881944444444444</x:v>
      </x:c>
      <x:c r="J17" s="40" t="n">
        <x:v>0.0006944444444444445</x:v>
      </x:c>
      <x:c r="K17" s="22" t="str">
        <x:v>Conferência alinhada à planilha-base</x:v>
      </x:c>
      <x:c r="L17" s="22" t="str">
        <x:v>Data e horários de conferência/saída conferidos com a aba “CONFERÊNCIA DE CAIXA” da planilha-base: conferência 21:10–21:19; saída 21:21. Horários de entrada e intervalo permanecem como dados ilustrativos desta simulação.</x:v>
      </x:c>
    </x:row>
    <x:row r="18" ht="55" customHeight="1">
      <x:c r="A18" s="44" t="n">
        <x:v>45826</x:v>
      </x:c>
      <x:c r="B18" s="30" t="str">
        <x:v>quarta-feira</x:v>
      </x:c>
      <x:c r="C18" s="45" t="n">
        <x:v>0.5458333333333333</x:v>
      </x:c>
      <x:c r="D18" s="45" t="n">
        <x:v>0.6805555555555556</x:v>
      </x:c>
      <x:c r="E18" s="45" t="n">
        <x:v>0.7194444444444444</x:v>
      </x:c>
      <x:c r="F18" s="45" t="n">
        <x:v>0.8888888888888888</x:v>
      </x:c>
      <x:c r="G18" s="32" t="str">
        <x:v>Segunda a sexta: entrada por volta de 13h; intervalo de cerca de 1 hora; saída habitual por volta de 21h20</x:v>
      </x:c>
      <x:c r="H18" s="45" t="n">
        <x:v>0.8784722222222222</x:v>
      </x:c>
      <x:c r="I18" s="45" t="n">
        <x:v>0.8861111111111111</x:v>
      </x:c>
      <x:c r="J18" s="46" t="n">
        <x:v>0</x:v>
      </x:c>
      <x:c r="K18" s="32" t="str">
        <x:v>Conferência alinhada à planilha-base</x:v>
      </x:c>
      <x:c r="L18" s="3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19" ht="55" customHeight="1">
      <x:c r="A19" s="38" t="n">
        <x:v>45842</x:v>
      </x:c>
      <x:c r="B19" s="20" t="str">
        <x:v>sexta-feira</x:v>
      </x:c>
      <x:c r="C19" s="39" t="n">
        <x:v>0.5451388888888888</x:v>
      </x:c>
      <x:c r="D19" s="39" t="n">
        <x:v>0.6666666666666666</x:v>
      </x:c>
      <x:c r="E19" s="39" t="n">
        <x:v>0.7055555555555556</x:v>
      </x:c>
      <x:c r="F19" s="39" t="n">
        <x:v>0.88125</x:v>
      </x:c>
      <x:c r="G19" s="22" t="str">
        <x:v>Segunda a sexta: entrada por volta de 13h; intervalo de cerca de 1 hora; saída habitual por volta de 21h20</x:v>
      </x:c>
      <x:c r="H19" s="39" t="n">
        <x:v>0.8715277777777778</x:v>
      </x:c>
      <x:c r="I19" s="39" t="n">
        <x:v>0.8791666666666667</x:v>
      </x:c>
      <x:c r="J19" s="40" t="n">
        <x:v>0</x:v>
      </x:c>
      <x:c r="K19" s="22" t="str">
        <x:v>Conferência alinhada à planilha-base</x:v>
      </x:c>
      <x:c r="L19" s="22" t="str">
        <x:v>Data e horários de conferência/saída conferidos com a aba “CONFERÊNCIA DE CAIXA” da planilha-base: conferência 20:55–21:06; saída 21:09. Horários de entrada e intervalo permanecem como dados ilustrativos desta simulação.</x:v>
      </x:c>
    </x:row>
    <x:row r="20" ht="55" customHeight="1">
      <x:c r="A20" s="41" t="n">
        <x:v>45843</x:v>
      </x:c>
      <x:c r="B20" s="25" t="str">
        <x:v>sábado</x:v>
      </x:c>
      <x:c r="C20" s="42" t="n">
        <x:v>0.5416666666666666</x:v>
      </x:c>
      <x:c r="D20" s="42"/>
      <x:c r="E20" s="42"/>
      <x:c r="F20" s="42" t="n">
        <x:v>0.7104166666666667</x:v>
      </x:c>
      <x:c r="G20" s="27" t="str">
        <x:v>Sábado: entrada por volta de 13h; saída habitual próxima das 17h; sem intervalo</x:v>
      </x:c>
      <x:c r="H20" s="42" t="n">
        <x:v>0.7027777777777777</x:v>
      </x:c>
      <x:c r="I20" s="42" t="n">
        <x:v>0.7083333333333334</x:v>
      </x:c>
      <x:c r="J20" s="43" t="n">
        <x:v>0.0020833333333333333</x:v>
      </x:c>
      <x:c r="K20" s="27" t="str">
        <x:v>Sábado; encerramento próximo ao horário habitual</x:v>
      </x:c>
      <x:c r="L20" s="27" t="str">
        <x:v>Data conferida com a aba “CONFERÊNCIA DE CAIXA” da planilha-base: conferência 16:52–17:00 e saída 17:03. Sábado normalmente sem intervalo; conferir a jornada efetiva se houver divergência com registros reais.</x:v>
      </x:c>
    </x:row>
    <x:row r="21" ht="55" customHeight="1">
      <x:c r="A21" s="41" t="n">
        <x:v>45857</x:v>
      </x:c>
      <x:c r="B21" s="25" t="str">
        <x:v>sábado</x:v>
      </x:c>
      <x:c r="C21" s="42" t="n">
        <x:v>0.5423611111111111</x:v>
      </x:c>
      <x:c r="D21" s="42"/>
      <x:c r="E21" s="42"/>
      <x:c r="F21" s="42" t="n">
        <x:v>0.7083333333333334</x:v>
      </x:c>
      <x:c r="G21" s="27" t="str">
        <x:v>Sábado: entrada por volta de 13h; saída habitual próxima das 17h; sem intervalo</x:v>
      </x:c>
      <x:c r="H21" s="42" t="n">
        <x:v>0.7</x:v>
      </x:c>
      <x:c r="I21" s="42" t="n">
        <x:v>0.7069444444444445</x:v>
      </x:c>
      <x:c r="J21" s="43" t="n">
        <x:v>0</x:v>
      </x:c>
      <x:c r="K21" s="27" t="str">
        <x:v>Sábado; encerramento próximo ao horário habitual</x:v>
      </x:c>
      <x:c r="L21" s="27" t="str">
        <x:v>Data conferida com a aba “CONFERÊNCIA DE CAIXA” da planilha-base: conferência 16:48–16:58 e saída 17:00. Sábado normalmente sem intervalo; conferir a jornada efetiva se houver divergência com registros reais.</x:v>
      </x:c>
    </x:row>
    <x:row r="22" ht="55" customHeight="1">
      <x:c r="A22" s="44" t="n">
        <x:v>45868</x:v>
      </x:c>
      <x:c r="B22" s="30" t="str">
        <x:v>quarta-feira</x:v>
      </x:c>
      <x:c r="C22" s="45" t="n">
        <x:v>0.5381944444444444</x:v>
      </x:c>
      <x:c r="D22" s="45" t="n">
        <x:v>0.6701388888888888</x:v>
      </x:c>
      <x:c r="E22" s="45" t="n">
        <x:v>0.7145833333333333</x:v>
      </x:c>
      <x:c r="F22" s="45" t="n">
        <x:v>0.8895833333333333</x:v>
      </x:c>
      <x:c r="G22" s="32" t="str">
        <x:v>Segunda a sexta: entrada por volta de 13h; intervalo de cerca de 1 hora; saída habitual por volta de 21h20</x:v>
      </x:c>
      <x:c r="H22" s="45" t="n">
        <x:v>0.8805555555555555</x:v>
      </x:c>
      <x:c r="I22" s="45" t="n">
        <x:v>0.8881944444444444</x:v>
      </x:c>
      <x:c r="J22" s="46" t="n">
        <x:v>0.0006944444444444445</x:v>
      </x:c>
      <x:c r="K22" s="32" t="str">
        <x:v>Conferência alinhada à planilha-base</x:v>
      </x:c>
      <x:c r="L22" s="32" t="str">
        <x:v>Data e horários de conferência/saída conferidos com a aba “CONFERÊNCIA DE CAIXA” da planilha-base: conferência 21:08–21:19; saída 21:21. Horários de entrada e intervalo permanecem como dados ilustrativos desta simulação.</x:v>
      </x:c>
    </x:row>
    <x:row r="23" ht="55" customHeight="1">
      <x:c r="A23" s="41" t="n">
        <x:v>45885</x:v>
      </x:c>
      <x:c r="B23" s="25" t="str">
        <x:v>sábado</x:v>
      </x:c>
      <x:c r="C23" s="42" t="n">
        <x:v>0.5416666666666666</x:v>
      </x:c>
      <x:c r="D23" s="42"/>
      <x:c r="E23" s="42"/>
      <x:c r="F23" s="42" t="n">
        <x:v>0.7083333333333334</x:v>
      </x:c>
      <x:c r="G23" s="27" t="str">
        <x:v>Sábado: entrada por volta de 13h; saída habitual próxima das 17h; sem intervalo</x:v>
      </x:c>
      <x:c r="H23" s="42" t="n">
        <x:v>0.6993055555555555</x:v>
      </x:c>
      <x:c r="I23" s="42" t="n">
        <x:v>0.7069444444444445</x:v>
      </x:c>
      <x:c r="J23" s="43" t="n">
        <x:v>0</x:v>
      </x:c>
      <x:c r="K23" s="27" t="str">
        <x:v>Sábado; encerramento próximo ao horário habitual</x:v>
      </x:c>
      <x:c r="L23" s="27" t="str">
        <x:v>Data conferida com a aba “CONFERÊNCIA DE CAIXA” da planilha-base: conferência 16:47–16:58 e saída 17:00. Sábado normalmente sem intervalo; conferir a jornada efetiva se houver divergência com registros reais.</x:v>
      </x:c>
    </x:row>
    <x:row r="24" ht="55" customHeight="1">
      <x:c r="A24" s="44" t="n">
        <x:v>45895</x:v>
      </x:c>
      <x:c r="B24" s="30" t="str">
        <x:v>terça-feira</x:v>
      </x:c>
      <x:c r="C24" s="45" t="n">
        <x:v>0.5430555555555555</x:v>
      </x:c>
      <x:c r="D24" s="45" t="n">
        <x:v>0.6666666666666666</x:v>
      </x:c>
      <x:c r="E24" s="45" t="n">
        <x:v>0.7090277777777778</x:v>
      </x:c>
      <x:c r="F24" s="45" t="n">
        <x:v>0.8881944444444444</x:v>
      </x:c>
      <x:c r="G24" s="32" t="str">
        <x:v>Segunda a sexta: entrada por volta de 13h; intervalo de cerca de 1 hora; saída habitual por volta de 21h20</x:v>
      </x:c>
      <x:c r="H24" s="45" t="n">
        <x:v>0.8798611111111111</x:v>
      </x:c>
      <x:c r="I24" s="45" t="n">
        <x:v>0.8861111111111111</x:v>
      </x:c>
      <x:c r="J24" s="46" t="n">
        <x:v>0</x:v>
      </x:c>
      <x:c r="K24" s="32" t="str">
        <x:v>Conferência alinhada à planilha-base</x:v>
      </x:c>
      <x:c r="L24" s="32" t="str">
        <x:v>Data e horários de conferência/saída conferidos com a aba “CONFERÊNCIA DE CAIXA” da planilha-base: conferência 21:07–21:16; saída 21:19. Horários de entrada e intervalo permanecem como dados ilustrativos desta simulação.</x:v>
      </x:c>
    </x:row>
    <x:row r="25" ht="55" customHeight="1">
      <x:c r="A25" s="41" t="n">
        <x:v>45906</x:v>
      </x:c>
      <x:c r="B25" s="25" t="str">
        <x:v>sábado</x:v>
      </x:c>
      <x:c r="C25" s="42" t="n">
        <x:v>0.5416666666666666</x:v>
      </x:c>
      <x:c r="D25" s="42" t="n">
        <x:v>0.65625</x:v>
      </x:c>
      <x:c r="E25" s="42" t="n">
        <x:v>0.6979166666666666</x:v>
      </x:c>
      <x:c r="F25" s="42" t="n">
        <x:v>0.9131944444444444</x:v>
      </x:c>
      <x:c r="G25" s="27" t="str">
        <x:v>Sábado excepcional: entrada por volta de 13h; intervalo de 1h; saída excepcional após 21h</x:v>
      </x:c>
      <x:c r="H25" s="42" t="n">
        <x:v>0.9</x:v>
      </x:c>
      <x:c r="I25" s="42" t="n">
        <x:v>0.9111111111111111</x:v>
      </x:c>
      <x:c r="J25" s="43" t="n">
        <x:v>0.2048611111111111</x:v>
      </x:c>
      <x:c r="K25" s="27" t="str">
        <x:v>Sábado excepcional — encerramento às 21h55</x:v>
      </x:c>
      <x:c r="L25" s="27" t="str">
        <x:v>Data e horários conferidos com a aba “CONFERÊNCIA DE CAIXA” da planilha-base: conferência 21:36–21:52 e saída 21:55. Jornada excepcional simulada; intervalo de 1h (15:45–16:45). Confirmar registros reais antes de qualquer conclusão sobre horas extras.</x:v>
      </x:c>
    </x:row>
    <x:row r="26" ht="55" customHeight="1">
      <x:c r="A26" s="44" t="n">
        <x:v>45917</x:v>
      </x:c>
      <x:c r="B26" s="30" t="str">
        <x:v>quarta-feira</x:v>
      </x:c>
      <x:c r="C26" s="45" t="n">
        <x:v>0.5458333333333333</x:v>
      </x:c>
      <x:c r="D26" s="45" t="n">
        <x:v>0.6736111111111112</x:v>
      </x:c>
      <x:c r="E26" s="45" t="n">
        <x:v>0.7159722222222222</x:v>
      </x:c>
      <x:c r="F26" s="45" t="n">
        <x:v>0.8902777777777777</x:v>
      </x:c>
      <x:c r="G26" s="32" t="str">
        <x:v>Segunda a sexta: entrada por volta de 13h; intervalo de cerca de 1 hora; saída habitual por volta de 21h20</x:v>
      </x:c>
      <x:c r="H26" s="45" t="n">
        <x:v>0.88125</x:v>
      </x:c>
      <x:c r="I26" s="45" t="n">
        <x:v>0.8888888888888888</x:v>
      </x:c>
      <x:c r="J26" s="46" t="n">
        <x:v>0.001388888888888889</x:v>
      </x:c>
      <x:c r="K26" s="32" t="str">
        <x:v>Conferência alinhada à planilha-base</x:v>
      </x:c>
      <x:c r="L26" s="32" t="str">
        <x:v>Data e horários de conferência/saída conferidos com a aba “CONFERÊNCIA DE CAIXA” da planilha-base: conferência 21:09–21:20; saída 21:22. Horários de entrada e intervalo permanecem como dados ilustrativos desta simulação.</x:v>
      </x:c>
    </x:row>
    <x:row r="27" ht="55" customHeight="1">
      <x:c r="A27" s="38" t="n">
        <x:v>46027</x:v>
      </x:c>
      <x:c r="B27" s="20" t="str">
        <x:v>segunda-feira</x:v>
      </x:c>
      <x:c r="C27" s="39" t="n">
        <x:v>0.5388888888888889</x:v>
      </x:c>
      <x:c r="D27" s="39" t="n">
        <x:v>0.6736111111111112</x:v>
      </x:c>
      <x:c r="E27" s="39" t="n">
        <x:v>0.7138888888888889</x:v>
      </x:c>
      <x:c r="F27" s="39" t="n">
        <x:v>0.8902777777777777</x:v>
      </x:c>
      <x:c r="G27" s="22" t="str">
        <x:v>Segunda a sexta: entrada por volta de 13h; intervalo de cerca de 1 hora; saída habitual por volta de 21h20</x:v>
      </x:c>
      <x:c r="H27" s="39" t="n">
        <x:v>0.8798611111111111</x:v>
      </x:c>
      <x:c r="I27" s="39" t="n">
        <x:v>0.8881944444444444</x:v>
      </x:c>
      <x:c r="J27" s="40" t="n">
        <x:v>0.001388888888888889</x:v>
      </x:c>
      <x:c r="K27" s="22" t="str">
        <x:v>Conferência alinhada à planilha-base</x:v>
      </x:c>
      <x:c r="L27" s="22" t="str">
        <x:v>Data e horários de conferência/saída conferidos com a aba “CONFERÊNCIA DE CAIXA” da planilha-base: conferência 21:07–21:19; saída 21:22. Horários de entrada e intervalo permanecem como dados ilustrativos desta simulação.</x:v>
      </x:c>
    </x:row>
    <x:row r="28" ht="55" customHeight="1">
      <x:c r="A28" s="44" t="n">
        <x:v>46029</x:v>
      </x:c>
      <x:c r="B28" s="30" t="str">
        <x:v>quarta-feira</x:v>
      </x:c>
      <x:c r="C28" s="45" t="n">
        <x:v>0.5458333333333333</x:v>
      </x:c>
      <x:c r="D28" s="45" t="n">
        <x:v>0.6805555555555556</x:v>
      </x:c>
      <x:c r="E28" s="45" t="n">
        <x:v>0.7201388888888889</x:v>
      </x:c>
      <x:c r="F28" s="45" t="n">
        <x:v>0.8909722222222223</x:v>
      </x:c>
      <x:c r="G28" s="32" t="str">
        <x:v>Segunda a sexta: entrada por volta de 13h; intervalo de cerca de 1 hora; saída habitual por volta de 21h20</x:v>
      </x:c>
      <x:c r="H28" s="45" t="n">
        <x:v>0.8819444444444444</x:v>
      </x:c>
      <x:c r="I28" s="45" t="n">
        <x:v>0.8888888888888888</x:v>
      </x:c>
      <x:c r="J28" s="46" t="n">
        <x:v>0.0020833333333333333</x:v>
      </x:c>
      <x:c r="K28" s="32" t="str">
        <x:v>Conferência alinhada à planilha-base</x:v>
      </x:c>
      <x:c r="L28" s="32" t="str">
        <x:v>Data e horários de conferência/saída conferidos com a aba “CONFERÊNCIA DE CAIXA” da planilha-base: conferência 21:10–21:20; saída 21:23. Horários de entrada e intervalo permanecem como dados ilustrativos desta simulação.</x:v>
      </x:c>
    </x:row>
    <x:row r="29" ht="55" customHeight="1">
      <x:c r="A29" s="38" t="n">
        <x:v>46042</x:v>
      </x:c>
      <x:c r="B29" s="20" t="str">
        <x:v>terça-feira</x:v>
      </x:c>
      <x:c r="C29" s="39" t="n">
        <x:v>0.5444444444444444</x:v>
      </x:c>
      <x:c r="D29" s="39" t="n">
        <x:v>0.6979166666666666</x:v>
      </x:c>
      <x:c r="E29" s="39" t="n">
        <x:v>0.7430555555555556</x:v>
      </x:c>
      <x:c r="F29" s="39" t="n">
        <x:v>0.8888888888888888</x:v>
      </x:c>
      <x:c r="G29" s="22" t="str">
        <x:v>Segunda a sexta: entrada por volta de 13h; intervalo de cerca de 1 hora; saída habitual por volta de 21h20</x:v>
      </x:c>
      <x:c r="H29" s="39" t="n">
        <x:v>0.8784722222222222</x:v>
      </x:c>
      <x:c r="I29" s="39" t="n">
        <x:v>0.8868055555555555</x:v>
      </x:c>
      <x:c r="J29" s="40" t="n">
        <x:v>0</x:v>
      </x:c>
      <x:c r="K29" s="22" t="str">
        <x:v>Conferência alinhada à planilha-base</x:v>
      </x:c>
      <x:c r="L29" s="22" t="str">
        <x:v>Data e horários de conferência/saída conferidos com a aba “CONFERÊNCIA DE CAIXA” da planilha-base: conferência 21:05–21:17; saída 21:20. Horários de entrada e intervalo permanecem como dados ilustrativos desta simulação.</x:v>
      </x:c>
    </x:row>
    <x:row r="30" ht="55" customHeight="1">
      <x:c r="A30" s="41" t="n">
        <x:v>46053</x:v>
      </x:c>
      <x:c r="B30" s="25" t="str">
        <x:v>sábado</x:v>
      </x:c>
      <x:c r="C30" s="42" t="n">
        <x:v>0.54375</x:v>
      </x:c>
      <x:c r="D30" s="42"/>
      <x:c r="E30" s="42"/>
      <x:c r="F30" s="42" t="n">
        <x:v>0.7097222222222223</x:v>
      </x:c>
      <x:c r="G30" s="27" t="str">
        <x:v>Sábado: entrada por volta de 13h; saída habitual próxima das 17h; sem intervalo</x:v>
      </x:c>
      <x:c r="H30" s="42" t="n">
        <x:v>0.7</x:v>
      </x:c>
      <x:c r="I30" s="42" t="n">
        <x:v>0.7069444444444445</x:v>
      </x:c>
      <x:c r="J30" s="43" t="n">
        <x:v>0.001388888888888889</x:v>
      </x:c>
      <x:c r="K30" s="27" t="str">
        <x:v>Sábado; encerramento próximo ao horário habitual</x:v>
      </x:c>
      <x:c r="L30" s="27" t="str">
        <x:v>Data conferida com a aba “CONFERÊNCIA DE CAIXA” da planilha-base: conferência 16:48–16:58 e saída 17:02. Sábado normalmente sem intervalo; conferir a jornada efetiva se houver divergência com registros reais.</x:v>
      </x:c>
    </x:row>
    <x:row r="31" ht="55" customHeight="1">
      <x:c r="A31" s="38" t="n">
        <x:v>46062</x:v>
      </x:c>
      <x:c r="B31" s="20" t="str">
        <x:v>segunda-feira</x:v>
      </x:c>
      <x:c r="C31" s="39" t="n">
        <x:v>0.5395833333333333</x:v>
      </x:c>
      <x:c r="D31" s="39" t="n">
        <x:v>0.6909722222222222</x:v>
      </x:c>
      <x:c r="E31" s="39" t="n">
        <x:v>0.7354166666666667</x:v>
      </x:c>
      <x:c r="F31" s="39" t="n">
        <x:v>0.8895833333333333</x:v>
      </x:c>
      <x:c r="G31" s="22" t="str">
        <x:v>Segunda a sexta: entrada por volta de 13h; intervalo de cerca de 1 hora; saída habitual por volta de 21h20</x:v>
      </x:c>
      <x:c r="H31" s="39" t="n">
        <x:v>0.8805555555555555</x:v>
      </x:c>
      <x:c r="I31" s="39" t="n">
        <x:v>0.8868055555555555</x:v>
      </x:c>
      <x:c r="J31" s="40" t="n">
        <x:v>0.0006944444444444445</x:v>
      </x:c>
      <x:c r="K31" s="22" t="str">
        <x:v>Conferência alinhada à planilha-base</x:v>
      </x:c>
      <x:c r="L31" s="22" t="str">
        <x:v>Data e horários de conferência/saída conferidos com a aba “CONFERÊNCIA DE CAIXA” da planilha-base: conferência 21:08–21:17; saída 21:21. Horários de entrada e intervalo permanecem como dados ilustrativos desta simulação.</x:v>
      </x:c>
    </x:row>
    <x:row r="32" ht="55" customHeight="1">
      <x:c r="A32" s="41" t="n">
        <x:v>46067</x:v>
      </x:c>
      <x:c r="B32" s="25" t="str">
        <x:v>sábado</x:v>
      </x:c>
      <x:c r="C32" s="42" t="n">
        <x:v>0.54375</x:v>
      </x:c>
      <x:c r="D32" s="42"/>
      <x:c r="E32" s="42"/>
      <x:c r="F32" s="42" t="n">
        <x:v>0.7048611111111112</x:v>
      </x:c>
      <x:c r="G32" s="27" t="str">
        <x:v>Sábado: entrada por volta de 13h; saída habitual próxima das 17h; sem intervalo</x:v>
      </x:c>
      <x:c r="H32" s="42" t="n">
        <x:v>0.6972222222222222</x:v>
      </x:c>
      <x:c r="I32" s="42" t="n">
        <x:v>0.7020833333333333</x:v>
      </x:c>
      <x:c r="J32" s="43" t="n">
        <x:v>0</x:v>
      </x:c>
      <x:c r="K32" s="27" t="str">
        <x:v>Sábado; encerramento próximo ao horário habitual</x:v>
      </x:c>
      <x:c r="L32" s="27" t="str">
        <x:v>Data conferida com a aba “CONFERÊNCIA DE CAIXA” da planilha-base: conferência 16:44–16:51 e saída 16:55. Sábado normalmente sem intervalo; conferir a jornada efetiva se houver divergência com registros reais.</x:v>
      </x:c>
    </x:row>
    <x:row r="33" ht="55" customHeight="1">
      <x:c r="A33" s="38" t="n">
        <x:v>46107</x:v>
      </x:c>
      <x:c r="B33" s="20" t="str">
        <x:v>quinta-feira</x:v>
      </x:c>
      <x:c r="C33" s="39" t="n">
        <x:v>0.5395833333333333</x:v>
      </x:c>
      <x:c r="D33" s="39" t="n">
        <x:v>0.6770833333333334</x:v>
      </x:c>
      <x:c r="E33" s="39" t="n">
        <x:v>0.7194444444444444</x:v>
      </x:c>
      <x:c r="F33" s="39" t="n">
        <x:v>0.8881944444444444</x:v>
      </x:c>
      <x:c r="G33" s="22" t="str">
        <x:v>Segunda a sexta: entrada por volta de 13h; intervalo de cerca de 1 hora; saída habitual por volta de 21h20</x:v>
      </x:c>
      <x:c r="H33" s="39" t="n">
        <x:v>0.8798611111111111</x:v>
      </x:c>
      <x:c r="I33" s="39" t="n">
        <x:v>0.8868055555555555</x:v>
      </x:c>
      <x:c r="J33" s="40" t="n">
        <x:v>0</x:v>
      </x:c>
      <x:c r="K33" s="22" t="str">
        <x:v>Conferência alinhada à planilha-base</x:v>
      </x:c>
      <x:c r="L33" s="22" t="str">
        <x:v>Data e horários de conferência/saída conferidos com a aba “CONFERÊNCIA DE CAIXA” da planilha-base: conferência 21:07–21:17; saída 21:19. Horários de entrada e intervalo permanecem como dados ilustrativos desta simulação.</x:v>
      </x:c>
    </x:row>
    <x:row r="34" ht="55" customHeight="1">
      <x:c r="A34" s="44" t="n">
        <x:v>46118</x:v>
      </x:c>
      <x:c r="B34" s="30" t="str">
        <x:v>segunda-feira</x:v>
      </x:c>
      <x:c r="C34" s="45" t="n">
        <x:v>0.5381944444444444</x:v>
      </x:c>
      <x:c r="D34" s="45" t="n">
        <x:v>0.6770833333333334</x:v>
      </x:c>
      <x:c r="E34" s="45" t="n">
        <x:v>0.7152777777777778</x:v>
      </x:c>
      <x:c r="F34" s="45" t="n">
        <x:v>0.8875</x:v>
      </x:c>
      <x:c r="G34" s="32" t="str">
        <x:v>Segunda a sexta: entrada por volta de 13h; intervalo de cerca de 1 hora; saída habitual por volta de 21h20</x:v>
      </x:c>
      <x:c r="H34" s="45" t="n">
        <x:v>0.875</x:v>
      </x:c>
      <x:c r="I34" s="45" t="n">
        <x:v>0.8847222222222222</x:v>
      </x:c>
      <x:c r="J34" s="46" t="n">
        <x:v>0</x:v>
      </x:c>
      <x:c r="K34" s="32" t="str">
        <x:v>Conferência alinhada à planilha-base</x:v>
      </x:c>
      <x:c r="L34" s="32" t="str">
        <x:v>Data e horários de conferência/saída conferidos com a aba “CONFERÊNCIA DE CAIXA” da planilha-base: conferência 21:00–21:14; saída 21:18. Horários de entrada e intervalo permanecem como dados ilustrativos desta simulação.</x:v>
      </x:c>
    </x:row>
    <x:row r="35" ht="55" customHeight="1">
      <x:c r="A35" s="38" t="n">
        <x:v>46128</x:v>
      </x:c>
      <x:c r="B35" s="20" t="str">
        <x:v>quinta-feira</x:v>
      </x:c>
      <x:c r="C35" s="39" t="n">
        <x:v>0.5388888888888889</x:v>
      </x:c>
      <x:c r="D35" s="39" t="n">
        <x:v>0.6770833333333334</x:v>
      </x:c>
      <x:c r="E35" s="39" t="n">
        <x:v>0.7215277777777778</x:v>
      </x:c>
      <x:c r="F35" s="39" t="n">
        <x:v>0.8881944444444444</x:v>
      </x:c>
      <x:c r="G35" s="22" t="str">
        <x:v>Segunda a sexta: entrada por volta de 13h; intervalo de cerca de 1 hora; saída habitual por volta de 21h20</x:v>
      </x:c>
      <x:c r="H35" s="39" t="n">
        <x:v>0.8805555555555555</x:v>
      </x:c>
      <x:c r="I35" s="39" t="n">
        <x:v>0.8868055555555555</x:v>
      </x:c>
      <x:c r="J35" s="40" t="n">
        <x:v>0</x:v>
      </x:c>
      <x:c r="K35" s="22" t="str">
        <x:v>Conferência alinhada à planilha-base</x:v>
      </x:c>
      <x:c r="L35" s="22" t="str">
        <x:v>Data e horários de conferência/saída conferidos com a aba “CONFERÊNCIA DE CAIXA” da planilha-base: conferência 21:08–21:17; saída 21:19. Horários de entrada e intervalo permanecem como dados ilustrativos desta simulação.</x:v>
      </x:c>
    </x:row>
    <x:row r="36" ht="55" customHeight="1">
      <x:c r="A36" s="44" t="n">
        <x:v>46140</x:v>
      </x:c>
      <x:c r="B36" s="30" t="str">
        <x:v>terça-feira</x:v>
      </x:c>
      <x:c r="C36" s="45" t="n">
        <x:v>0.5444444444444444</x:v>
      </x:c>
      <x:c r="D36" s="45" t="n">
        <x:v>0.6666666666666666</x:v>
      </x:c>
      <x:c r="E36" s="45" t="n">
        <x:v>0.7076388888888889</x:v>
      </x:c>
      <x:c r="F36" s="45" t="n">
        <x:v>0.8861111111111111</x:v>
      </x:c>
      <x:c r="G36" s="32" t="str">
        <x:v>Segunda a sexta: entrada por volta de 13h; intervalo de cerca de 1 hora; saída habitual por volta de 21h20</x:v>
      </x:c>
      <x:c r="H36" s="45" t="n">
        <x:v>0.8756944444444444</x:v>
      </x:c>
      <x:c r="I36" s="45" t="n">
        <x:v>0.8847222222222222</x:v>
      </x:c>
      <x:c r="J36" s="46" t="n">
        <x:v>0</x:v>
      </x:c>
      <x:c r="K36" s="32" t="str">
        <x:v>Conferência alinhada à planilha-base</x:v>
      </x:c>
      <x:c r="L36" s="32" t="str">
        <x:v>Data e horários de conferência/saída conferidos com a aba “CONFERÊNCIA DE CAIXA” da planilha-base: conferência 21:01–21:14; saída 21:16. Horários de entrada e intervalo permanecem como dados ilustrativos desta simulação.</x:v>
      </x:c>
    </x:row>
    <x:row r="37" ht="55" customHeight="1">
      <x:c r="A37" s="41" t="n">
        <x:v>46151</x:v>
      </x:c>
      <x:c r="B37" s="25" t="str">
        <x:v>sábado</x:v>
      </x:c>
      <x:c r="C37" s="42" t="n">
        <x:v>0.5423611111111111</x:v>
      </x:c>
      <x:c r="D37" s="42" t="n">
        <x:v>0.6666666666666666</x:v>
      </x:c>
      <x:c r="E37" s="42" t="n">
        <x:v>0.7083333333333334</x:v>
      </x:c>
      <x:c r="F37" s="42" t="n">
        <x:v>0.9166666666666666</x:v>
      </x:c>
      <x:c r="G37" s="27" t="str">
        <x:v>Sábado excepcional: entrada por volta de 13h; intervalo de 1h; saída excepcional após 21h</x:v>
      </x:c>
      <x:c r="H37" s="42" t="n">
        <x:v>0.9069444444444444</x:v>
      </x:c>
      <x:c r="I37" s="42" t="n">
        <x:v>0.9152777777777777</x:v>
      </x:c>
      <x:c r="J37" s="43" t="n">
        <x:v>0.20833333333333334</x:v>
      </x:c>
      <x:c r="K37" s="27" t="str">
        <x:v>Sábado excepcional — encerramento às 22h00</x:v>
      </x:c>
      <x:c r="L37" s="27" t="str">
        <x:v>Data e horários conferidos com a aba “CONFERÊNCIA DE CAIXA” da planilha-base: conferência 21:46–21:58 e saída 22:00. Jornada excepcional simulada; intervalo de 1h (16:00–17:00). Confirmar registros reais antes de qualquer conclusão sobre horas extras.</x:v>
      </x:c>
    </x:row>
    <x:row r="38" ht="55" customHeight="1">
      <x:c r="A38" s="44" t="n">
        <x:v>46163</x:v>
      </x:c>
      <x:c r="B38" s="30" t="str">
        <x:v>quinta-feira</x:v>
      </x:c>
      <x:c r="C38" s="45" t="n">
        <x:v>0.54375</x:v>
      </x:c>
      <x:c r="D38" s="45" t="n">
        <x:v>0.6736111111111112</x:v>
      </x:c>
      <x:c r="E38" s="45" t="n">
        <x:v>0.7173611111111111</x:v>
      </x:c>
      <x:c r="F38" s="45" t="n">
        <x:v>0.8875</x:v>
      </x:c>
      <x:c r="G38" s="32" t="str">
        <x:v>Segunda a sexta: entrada por volta de 13h; intervalo de cerca de 1 hora; saída habitual por volta de 21h20</x:v>
      </x:c>
      <x:c r="H38" s="45" t="n">
        <x:v>0.8784722222222222</x:v>
      </x:c>
      <x:c r="I38" s="45" t="n">
        <x:v>0.8847222222222222</x:v>
      </x:c>
      <x:c r="J38" s="46" t="n">
        <x:v>0</x:v>
      </x:c>
      <x:c r="K38" s="32" t="str">
        <x:v>Conferência alinhada à planilha-base</x:v>
      </x:c>
      <x:c r="L38" s="32" t="str">
        <x:v>Data e horários de conferência/saída conferidos com a aba “CONFERÊNCIA DE CAIXA” da planilha-base: conferência 21:05–21:14; saída 21:18. Horários de entrada e intervalo permanecem como dados ilustrativos desta simulação.</x:v>
      </x:c>
    </x:row>
    <x:row r="39" ht="55" customHeight="1">
      <x:c r="A39" s="41" t="n">
        <x:v>46172</x:v>
      </x:c>
      <x:c r="B39" s="25" t="str">
        <x:v>sábado</x:v>
      </x:c>
      <x:c r="C39" s="42" t="n">
        <x:v>0.5430555555555555</x:v>
      </x:c>
      <x:c r="D39" s="42"/>
      <x:c r="E39" s="42"/>
      <x:c r="F39" s="42" t="n">
        <x:v>0.7027777777777777</x:v>
      </x:c>
      <x:c r="G39" s="27" t="str">
        <x:v>Sábado: entrada por volta de 13h; saída habitual próxima das 17h; sem intervalo</x:v>
      </x:c>
      <x:c r="H39" s="42" t="n">
        <x:v>0.6923611111111111</x:v>
      </x:c>
      <x:c r="I39" s="42" t="n">
        <x:v>0.7</x:v>
      </x:c>
      <x:c r="J39" s="43" t="n">
        <x:v>0</x:v>
      </x:c>
      <x:c r="K39" s="27" t="str">
        <x:v>Sábado; encerramento próximo ao horário habitual</x:v>
      </x:c>
      <x:c r="L39" s="27" t="str">
        <x:v>Data conferida com a aba “CONFERÊNCIA DE CAIXA” da planilha-base: conferência 16:37–16:48 e saída 16:52. Sábado normalmente sem intervalo; conferir a jornada efetiva se houver divergência com registros reais.</x:v>
      </x:c>
    </x:row>
    <x:row r="40" ht="55" customHeight="1">
      <x:c r="A40" s="44" t="n">
        <x:v>46182</x:v>
      </x:c>
      <x:c r="B40" s="30" t="str">
        <x:v>terça-feira</x:v>
      </x:c>
      <x:c r="C40" s="45" t="n">
        <x:v>0.5444444444444444</x:v>
      </x:c>
      <x:c r="D40" s="45" t="n">
        <x:v>0.6840277777777778</x:v>
      </x:c>
      <x:c r="E40" s="45" t="n">
        <x:v>0.7222222222222222</x:v>
      </x:c>
      <x:c r="F40" s="45" t="n">
        <x:v>0.8909722222222223</x:v>
      </x:c>
      <x:c r="G40" s="32" t="str">
        <x:v>Segunda a sexta: entrada por volta de 13h; intervalo de cerca de 1 hora; saída habitual por volta de 21h20</x:v>
      </x:c>
      <x:c r="H40" s="45" t="n">
        <x:v>0.8798611111111111</x:v>
      </x:c>
      <x:c r="I40" s="45" t="n">
        <x:v>0.8888888888888888</x:v>
      </x:c>
      <x:c r="J40" s="46" t="n">
        <x:v>0.0020833333333333333</x:v>
      </x:c>
      <x:c r="K40" s="32" t="str">
        <x:v>Conferência alinhada à planilha-base</x:v>
      </x:c>
      <x:c r="L40" s="32" t="str">
        <x:v>Data e horários de conferência/saída conferidos com a aba “CONFERÊNCIA DE CAIXA” da planilha-base: conferência 21:07–21:20; saída 21:23. Horários de entrada e intervalo permanecem como dados ilustrativos desta simulação.</x:v>
      </x:c>
    </x:row>
    <x:row r="41" ht="55" customHeight="1">
      <x:c r="A41" s="38" t="n">
        <x:v>46191</x:v>
      </x:c>
      <x:c r="B41" s="20" t="str">
        <x:v>quinta-feira</x:v>
      </x:c>
      <x:c r="C41" s="39" t="n">
        <x:v>0.54375</x:v>
      </x:c>
      <x:c r="D41" s="39" t="n">
        <x:v>0.6909722222222222</x:v>
      </x:c>
      <x:c r="E41" s="39" t="n">
        <x:v>0.7354166666666667</x:v>
      </x:c>
      <x:c r="F41" s="39" t="n">
        <x:v>0.8888888888888888</x:v>
      </x:c>
      <x:c r="G41" s="22" t="str">
        <x:v>Segunda a sexta: entrada por volta de 13h; intervalo de cerca de 1 hora; saída habitual por volta de 21h20</x:v>
      </x:c>
      <x:c r="H41" s="39" t="n">
        <x:v>0.8798611111111111</x:v>
      </x:c>
      <x:c r="I41" s="39" t="n">
        <x:v>0.8861111111111111</x:v>
      </x:c>
      <x:c r="J41" s="40" t="n">
        <x:v>0</x:v>
      </x:c>
      <x:c r="K41" s="22" t="str">
        <x:v>Conferência alinhada à planilha-base</x:v>
      </x:c>
      <x:c r="L41" s="22" t="str">
        <x:v>Data e horários de conferência/saída conferidos com a aba “CONFERÊNCIA DE CAIXA” da planilha-base: conferência 21:07–21:16; saída 21:20. Horários de entrada e intervalo permanecem como dados ilustrativos desta simulação.</x:v>
      </x:c>
    </x:row>
    <x:row r="42" ht="55" customHeight="1">
      <x:c r="A42" s="44" t="n">
        <x:v>46213</x:v>
      </x:c>
      <x:c r="B42" s="30" t="str">
        <x:v>sexta-feira</x:v>
      </x:c>
      <x:c r="C42" s="45" t="n">
        <x:v>0.5423611111111111</x:v>
      </x:c>
      <x:c r="D42" s="45" t="n">
        <x:v>0.6770833333333334</x:v>
      </x:c>
      <x:c r="E42" s="45" t="n">
        <x:v>0.7215277777777778</x:v>
      </x:c>
      <x:c r="F42" s="45" t="n">
        <x:v>0.8895833333333333</x:v>
      </x:c>
      <x:c r="G42" s="32" t="str">
        <x:v>Segunda a sexta: entrada por volta de 13h; intervalo de cerca de 1 hora; saída habitual por volta de 21h20</x:v>
      </x:c>
      <x:c r="H42" s="45" t="n">
        <x:v>0.8784722222222222</x:v>
      </x:c>
      <x:c r="I42" s="45" t="n">
        <x:v>0.8875</x:v>
      </x:c>
      <x:c r="J42" s="46" t="n">
        <x:v>0.0006944444444444445</x:v>
      </x:c>
      <x:c r="K42" s="32" t="str">
        <x:v>Conferência alinhada à planilha-base</x:v>
      </x:c>
      <x:c r="L42" s="32" t="str">
        <x:v>Data e horários de conferência/saída conferidos com a aba “CONFERÊNCIA DE CAIXA” da planilha-base: conferência 21:05–21:18; saída 21:21. Horários de entrada e intervalo permanecem como dados ilustrativos desta simulação.</x:v>
      </x:c>
    </x:row>
    <x:row r="43" ht="55" customHeight="1">
      <x:c r="A43" s="38" t="n">
        <x:v>46218</x:v>
      </x:c>
      <x:c r="B43" s="20" t="str">
        <x:v>quarta-feira</x:v>
      </x:c>
      <x:c r="C43" s="39" t="n">
        <x:v>0.5409722222222222</x:v>
      </x:c>
      <x:c r="D43" s="39" t="n">
        <x:v>0.6944444444444444</x:v>
      </x:c>
      <x:c r="E43" s="39" t="n">
        <x:v>0.7347222222222223</x:v>
      </x:c>
      <x:c r="F43" s="39" t="n">
        <x:v>0.8888888888888888</x:v>
      </x:c>
      <x:c r="G43" s="22" t="str">
        <x:v>Segunda a sexta: entrada por volta de 13h; intervalo de cerca de 1 hora; saída habitual por volta de 21h20</x:v>
      </x:c>
      <x:c r="H43" s="39" t="n">
        <x:v>0.8791666666666667</x:v>
      </x:c>
      <x:c r="I43" s="39" t="n">
        <x:v>0.8868055555555555</x:v>
      </x:c>
      <x:c r="J43" s="40" t="n">
        <x:v>0</x:v>
      </x:c>
      <x:c r="K43" s="22" t="str">
        <x:v>Conferência alinhada à planilha-base</x:v>
      </x:c>
      <x:c r="L43" s="22" t="str">
        <x:v>Data e horários de conferência/saída conferidos com a aba “CONFERÊNCIA DE CAIXA” da planilha-base: conferência 21:06–21:17; saída 21:20. Horários de entrada e intervalo permanecem como dados ilustrativos desta simulação.</x:v>
      </x:c>
    </x:row>
    <x:row r="44" ht="55" customHeight="1">
      <x:c r="A44" s="44" t="n">
        <x:v>46233</x:v>
      </x:c>
      <x:c r="B44" s="30" t="str">
        <x:v>quinta-feira</x:v>
      </x:c>
      <x:c r="C44" s="45" t="n">
        <x:v>0.5381944444444444</x:v>
      </x:c>
      <x:c r="D44" s="45" t="n">
        <x:v>0.6805555555555556</x:v>
      </x:c>
      <x:c r="E44" s="45" t="n">
        <x:v>0.7236111111111111</x:v>
      </x:c>
      <x:c r="F44" s="45" t="n">
        <x:v>0.8888888888888888</x:v>
      </x:c>
      <x:c r="G44" s="32" t="str">
        <x:v>Segunda a sexta: entrada por volta de 13h; intervalo de cerca de 1 hora; saída habitual por volta de 21h20</x:v>
      </x:c>
      <x:c r="H44" s="45" t="n">
        <x:v>0.8791666666666667</x:v>
      </x:c>
      <x:c r="I44" s="45" t="n">
        <x:v>0.8861111111111111</x:v>
      </x:c>
      <x:c r="J44" s="46" t="n">
        <x:v>0</x:v>
      </x:c>
      <x:c r="K44" s="32" t="str">
        <x:v>Conferência alinhada à planilha-base</x:v>
      </x:c>
      <x:c r="L44" s="32" t="str">
        <x:v>Data e horários de conferência/saída conferidos com a aba “CONFERÊNCIA DE CAIXA” da planilha-base: conferência 21:06–21:16; saída 21:20. Horários de entrada e intervalo permanecem como dados ilustrativos desta simulação.</x:v>
      </x:c>
    </x:row>
    <x:row r="45" ht="55" customHeight="1">
      <x:c r="A45" s="41" t="n">
        <x:v>46249</x:v>
      </x:c>
      <x:c r="B45" s="25" t="str">
        <x:v>sábado</x:v>
      </x:c>
      <x:c r="C45" s="42" t="n">
        <x:v>0.5409722222222222</x:v>
      </x:c>
      <x:c r="D45" s="42"/>
      <x:c r="E45" s="42"/>
      <x:c r="F45" s="42" t="n">
        <x:v>0.7055555555555556</x:v>
      </x:c>
      <x:c r="G45" s="27" t="str">
        <x:v>Sábado: entrada por volta de 13h; saída habitual próxima das 17h; sem intervalo</x:v>
      </x:c>
      <x:c r="H45" s="42" t="n">
        <x:v>0.6958333333333333</x:v>
      </x:c>
      <x:c r="I45" s="42" t="n">
        <x:v>0.7041666666666667</x:v>
      </x:c>
      <x:c r="J45" s="43" t="n">
        <x:v>0</x:v>
      </x:c>
      <x:c r="K45" s="27" t="str">
        <x:v>Sábado; encerramento próximo ao horário habitual</x:v>
      </x:c>
      <x:c r="L45" s="27" t="str">
        <x:v>Data conferida com a aba “CONFERÊNCIA DE CAIXA” da planilha-base: conferência 16:42–16:54 e saída 16:56. Sábado normalmente sem intervalo; conferir a jornada efetiva se houver divergência com registros reais.</x:v>
      </x:c>
    </x:row>
    <x:row r="46" ht="55" customHeight="1">
      <x:c r="A46" s="44" t="n">
        <x:v>46251</x:v>
      </x:c>
      <x:c r="B46" s="30" t="str">
        <x:v>segunda-feira</x:v>
      </x:c>
      <x:c r="C46" s="45" t="n">
        <x:v>0.54375</x:v>
      </x:c>
      <x:c r="D46" s="45" t="n">
        <x:v>0.6840277777777778</x:v>
      </x:c>
      <x:c r="E46" s="45" t="n">
        <x:v>0.7243055555555555</x:v>
      </x:c>
      <x:c r="F46" s="45" t="n">
        <x:v>0.8888888888888888</x:v>
      </x:c>
      <x:c r="G46" s="32" t="str">
        <x:v>Segunda a sexta: entrada por volta de 13h; intervalo de cerca de 1 hora; saída habitual por volta de 21h20</x:v>
      </x:c>
      <x:c r="H46" s="45" t="n">
        <x:v>0.8770833333333333</x:v>
      </x:c>
      <x:c r="I46" s="45" t="n">
        <x:v>0.8861111111111111</x:v>
      </x:c>
      <x:c r="J46" s="46" t="n">
        <x:v>0</x:v>
      </x:c>
      <x:c r="K46" s="32" t="str">
        <x:v>Conferência alinhada à planilha-base</x:v>
      </x:c>
      <x:c r="L46" s="32" t="str">
        <x:v>Data e horários de conferência/saída conferidos com a aba “CONFERÊNCIA DE CAIXA” da planilha-base: conferência 21:03–21:16; saída 21:20. Horários de entrada e intervalo permanecem como dados ilustrativos desta simulação.</x:v>
      </x:c>
    </x:row>
    <x:row r="47" ht="55" customHeight="1">
      <x:c r="A47" s="38" t="n">
        <x:v>46255</x:v>
      </x:c>
      <x:c r="B47" s="20" t="str">
        <x:v>sexta-feira</x:v>
      </x:c>
      <x:c r="C47" s="39" t="n">
        <x:v>0.54375</x:v>
      </x:c>
      <x:c r="D47" s="39" t="n">
        <x:v>0.6909722222222222</x:v>
      </x:c>
      <x:c r="E47" s="39" t="n">
        <x:v>0.7361111111111112</x:v>
      </x:c>
      <x:c r="F47" s="39" t="n">
        <x:v>0.8888888888888888</x:v>
      </x:c>
      <x:c r="G47" s="22" t="str">
        <x:v>Segunda a sexta: entrada por volta de 13h; intervalo de cerca de 1 hora; saída habitual por volta de 21h20</x:v>
      </x:c>
      <x:c r="H47" s="39" t="n">
        <x:v>0.8784722222222222</x:v>
      </x:c>
      <x:c r="I47" s="39" t="n">
        <x:v>0.8861111111111111</x:v>
      </x:c>
      <x:c r="J47" s="40" t="n">
        <x:v>0</x:v>
      </x:c>
      <x:c r="K47" s="22" t="str">
        <x:v>Conferência alinhada à planilha-base</x:v>
      </x:c>
      <x:c r="L47" s="22" t="str">
        <x:v>Data e horários de conferência/saída conferidos com a aba “CONFERÊNCIA DE CAIXA” da planilha-base: conferência 21:05–21:16; saída 21:20. Horários de entrada e intervalo permanecem como dados ilustrativos desta simulação.</x:v>
      </x:c>
    </x:row>
    <x:row r="48" ht="55" customHeight="1">
      <x:c r="A48" s="41" t="n">
        <x:v>46263</x:v>
      </x:c>
      <x:c r="B48" s="25" t="str">
        <x:v>sábado</x:v>
      </x:c>
      <x:c r="C48" s="42" t="n">
        <x:v>0.5451388888888888</x:v>
      </x:c>
      <x:c r="D48" s="42" t="n">
        <x:v>0.6736111111111112</x:v>
      </x:c>
      <x:c r="E48" s="42" t="n">
        <x:v>0.7152777777777778</x:v>
      </x:c>
      <x:c r="F48" s="42" t="n">
        <x:v>0.9166666666666666</x:v>
      </x:c>
      <x:c r="G48" s="27" t="str">
        <x:v>Sábado excepcional: entrada por volta de 13h; intervalo de 1h; saída excepcional após 21h</x:v>
      </x:c>
      <x:c r="H48" s="42" t="n">
        <x:v>0.9055555555555556</x:v>
      </x:c>
      <x:c r="I48" s="42" t="n">
        <x:v>0.9138888888888889</x:v>
      </x:c>
      <x:c r="J48" s="43" t="n">
        <x:v>0.20833333333333334</x:v>
      </x:c>
      <x:c r="K48" s="27" t="str">
        <x:v>Sábado excepcional — encerramento às 22h00</x:v>
      </x:c>
      <x:c r="L48" s="27" t="str">
        <x:v>Data e horários conferidos com a aba “CONFERÊNCIA DE CAIXA” da planilha-base: conferência 21:44–21:56 e saída 22:00. Jornada excepcional simulada; intervalo de 1h (16:10–17:10). Confirmar registros reais antes de qualquer conclusão sobre horas extras.</x:v>
      </x:c>
    </x:row>
    <x:row r="49">
      <x:c r="A49" s="83"/>
      <x:c r="B49"/>
      <x:c r="C49" s="85"/>
      <x:c r="D49" s="85"/>
      <x:c r="E49" s="85"/>
      <x:c r="F49" s="85"/>
      <x:c r="G49"/>
      <x:c r="H49" s="85"/>
      <x:c r="I49" s="85"/>
      <x:c r="J49" s="85"/>
      <x:c r="K49"/>
      <x:c r="L49"/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2948fe9f0c264a4c"/>
  </x:tableParts>
</x:worksheet>
</file>

<file path=xl/worksheets/sheet2.xml><?xml version="1.0" encoding="utf-8"?>
<x:worksheet xmlns:x="http://schemas.openxmlformats.org/spreadsheetml/2006/main">
  <x:sheetPr>
    <x:tabColor rgb="FFEDC948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26" customWidth="1"/>
    <x:col min="4" max="4" width="24" customWidth="1"/>
    <x:col min="5" max="5" width="42" customWidth="1"/>
    <x:col min="6" max="6" width="65" customWidth="1"/>
    <x:col min="7" max="7" width="40" customWidth="1"/>
    <x:col min="8" max="8" width="30" customWidth="1"/>
    <x:col min="9" max="9" width="70" customWidth="1"/>
  </x:cols>
  <x:sheetData>
    <x:row r="1" ht="30" customHeight="1">
      <x:c r="A1" s="16" t="inlineStr">
        <x:is>
          <x:t xml:space="preserve">FALHAS DE PONTO — OCORRÊNCIAS SIMULADAS E REGISTRO INDIVIDUAL</x:t>
        </x:is>
      </x:c>
    </x:row>
    <x:row r="2" ht="42" customHeight="1">
      <x:c r="A2" s="17" t="str">
        <x:v>Ocorrências demonstrativas ou relatadas, sujeitas à comprovação por registro original. A anotação de falha não substitui automaticamente uma marcação real. O caso fictício de 12/06/2025 foi retirado por conflito com a saída às 22h00 informada; 12/06/2026 retorna à versão anterior.</x:v>
      </x:c>
    </x:row>
    <x:row r="4" ht="42" customHeight="1">
      <x:c r="A4" s="34" t="inlineStr">
        <x:is>
          <x:t xml:space="preserve">Data</x:t>
        </x:is>
      </x:c>
      <x:c r="B4" s="34" t="inlineStr">
        <x:is>
          <x:t xml:space="preserve">Dia da semana</x:t>
        </x:is>
      </x:c>
      <x:c r="C4" s="34" t="inlineStr">
        <x:is>
          <x:t xml:space="preserve">Batida ausente ou afetada</x:t>
        </x:is>
      </x:c>
      <x:c r="D4" s="34" t="inlineStr">
        <x:is>
          <x:t xml:space="preserve">Horário previsto da batida</x:t>
        </x:is>
      </x:c>
      <x:c r="E4" s="34" t="inlineStr">
        <x:is>
          <x:t xml:space="preserve">Motivo da falha</x:t>
        </x:is>
      </x:c>
      <x:c r="F4" s="34" t="inlineStr">
        <x:is>
          <x:t xml:space="preserve">Providência sugerida para conferência/ajuste</x:t>
        </x:is>
      </x:c>
      <x:c r="G4" s="34" t="inlineStr">
        <x:is>
          <x:t xml:space="preserve">Responsável indicado para conferência/ajuste</x:t>
        </x:is>
      </x:c>
      <x:c r="H4" s="34" t="inlineStr">
        <x:is>
          <x:t xml:space="preserve">Origem do registro</x:t>
        </x:is>
      </x:c>
      <x:c r="I4" s="34" t="inlineStr">
        <x:is>
          <x:t xml:space="preserve">Nota de consistência</x:t>
        </x:is>
      </x:c>
    </x:row>
    <x:row r="5" ht="54" customHeight="1">
      <x:c r="A5" s="47" t="n">
        <x:v>45721</x:v>
      </x:c>
      <x:c r="B5" s="27" t="str">
        <x:v>quarta-feira</x:v>
      </x:c>
      <x:c r="C5" s="27" t="str">
        <x:v>Entrada</x:v>
      </x:c>
      <x:c r="D5" s="27" t="str">
        <x:v>13:00</x:v>
      </x:c>
      <x:c r="E5" s="27" t="str">
        <x:v>Instabilidade de conexão Wi-Fi no tablet do caixa</x:v>
      </x:c>
      <x:c r="F5" s="27" t="str">
        <x:v>FICTÍCIO/SIMULADO — conferir os registros disponíveis e efetuar ajuste manual somente após validação</x:v>
      </x:c>
      <x:c r="G5" s="27" t="str">
        <x:v>Paulo Henrique Ribeiro (gerente — simulação)</x:v>
      </x:c>
      <x:c r="H5" s="27" t="str">
        <x:v>FICTÍCIO/SIMULADO</x:v>
      </x:c>
      <x:c r="I5" s="27" t="str">
        <x:v>Ocorrência fictícia para exercício; horários variados e aproximados, sem pretensão de reproduzir registro real.</x:v>
      </x:c>
    </x:row>
    <x:row r="6" ht="54" customHeight="1">
      <x:c r="A6" s="47" t="n">
        <x:v>45728</x:v>
      </x:c>
      <x:c r="B6" s="27" t="str">
        <x:v>quarta-feira</x:v>
      </x:c>
      <x:c r="C6" s="27" t="str">
        <x:v>Saída</x:v>
      </x:c>
      <x:c r="D6" s="27" t="str">
        <x:v>21:28</x:v>
      </x:c>
      <x:c r="E6" s="27" t="str">
        <x:v>Ausência/intermitência de sinal no local de registro</x:v>
      </x:c>
      <x:c r="F6" s="27" t="str">
        <x:v>FICTÍCIO/SIMULADO — conferir os registros disponíveis e efetuar ajuste manual somente após validação</x:v>
      </x:c>
      <x:c r="G6" s="27" t="str">
        <x:v>Paulo Henrique Ribeiro (gerente — simulação)</x:v>
      </x:c>
      <x:c r="H6" s="27" t="str">
        <x:v>FICTÍCIO/SIMULADO</x:v>
      </x:c>
      <x:c r="I6" s="27" t="str">
        <x:v>Ocorrência fictícia para exercício; horários variados e aproximados, sem pretensão de reproduzir registro real.</x:v>
      </x:c>
    </x:row>
    <x:row r="7" ht="54" customHeight="1">
      <x:c r="A7" s="47" t="n">
        <x:v>45740</x:v>
      </x:c>
      <x:c r="B7" s="27" t="str">
        <x:v>segunda-feira</x:v>
      </x:c>
      <x:c r="C7" s="27" t="str">
        <x:v>Entrada e saída</x:v>
      </x:c>
      <x:c r="D7" s="27" t="str">
        <x:v>13:02 e 21:32</x:v>
      </x:c>
      <x:c r="E7" s="27" t="str">
        <x:v>Falha de comunicação entre o tablet do caixa e o sistema</x:v>
      </x:c>
      <x:c r="F7" s="27" t="str">
        <x:v>FICTÍCIO/SIMULADO — conferir os registros disponíveis e efetuar ajuste manual somente após validação</x:v>
      </x:c>
      <x:c r="G7" s="27" t="str">
        <x:v>Paulo Henrique Ribeiro (gerente — simulação)</x:v>
      </x:c>
      <x:c r="H7" s="27" t="str">
        <x:v>FICTÍCIO/SIMULADO</x:v>
      </x:c>
      <x:c r="I7" s="27" t="str">
        <x:v>Ocorrência fictícia para exercício; horários variados e aproximados, sem pretensão de reproduzir registro real.</x:v>
      </x:c>
    </x:row>
    <x:row r="8" ht="54" customHeight="1">
      <x:c r="A8" s="47" t="n">
        <x:v>45751</x:v>
      </x:c>
      <x:c r="B8" s="27" t="str">
        <x:v>sexta-feira</x:v>
      </x:c>
      <x:c r="C8" s="27" t="str">
        <x:v>Saída</x:v>
      </x:c>
      <x:c r="D8" s="27" t="str">
        <x:v>21:24</x:v>
      </x:c>
      <x:c r="E8" s="27" t="str">
        <x:v>Ausência/intermitência de sinal no local de registro</x:v>
      </x:c>
      <x:c r="F8" s="27" t="str">
        <x:v>FICTÍCIO/SIMULADO — conferir os registros disponíveis e efetuar ajuste manual somente após validação</x:v>
      </x:c>
      <x:c r="G8" s="27" t="str">
        <x:v>Paulo Henrique Ribeiro (gerente — simulação)</x:v>
      </x:c>
      <x:c r="H8" s="27" t="str">
        <x:v>FICTÍCIO/SIMULADO</x:v>
      </x:c>
      <x:c r="I8" s="27" t="str">
        <x:v>Ocorrência fictícia para exercício; horários variados e aproximados, sem pretensão de reproduzir registro real.</x:v>
      </x:c>
    </x:row>
    <x:row r="9" ht="54" customHeight="1">
      <x:c r="A9" s="47" t="n">
        <x:v>45758</x:v>
      </x:c>
      <x:c r="B9" s="27" t="str">
        <x:v>sexta-feira</x:v>
      </x:c>
      <x:c r="C9" s="27" t="str">
        <x:v>Entrada e saída</x:v>
      </x:c>
      <x:c r="D9" s="27" t="str">
        <x:v>12:58 e 21:26</x:v>
      </x:c>
      <x:c r="E9" s="27" t="str">
        <x:v>Falha de comunicação entre o tablet do caixa e o sistema</x:v>
      </x:c>
      <x:c r="F9" s="27" t="str">
        <x:v>FICTÍCIO/SIMULADO — conferir os registros disponíveis e efetuar ajuste manual somente após validação</x:v>
      </x:c>
      <x:c r="G9" s="27" t="str">
        <x:v>Paulo Henrique Ribeiro (gerente — simulação)</x:v>
      </x:c>
      <x:c r="H9" s="27" t="str">
        <x:v>FICTÍCIO/SIMULADO</x:v>
      </x:c>
      <x:c r="I9" s="27" t="str">
        <x:v>Ocorrência fictícia para exercício; horários variados e aproximados, sem pretensão de reproduzir registro real.</x:v>
      </x:c>
    </x:row>
    <x:row r="10" ht="54" customHeight="1">
      <x:c r="A10" s="47" t="n">
        <x:v>45771</x:v>
      </x:c>
      <x:c r="B10" s="27" t="str">
        <x:v>quinta-feira</x:v>
      </x:c>
      <x:c r="C10" s="27" t="str">
        <x:v>Entrada</x:v>
      </x:c>
      <x:c r="D10" s="27" t="str">
        <x:v>13:06</x:v>
      </x:c>
      <x:c r="E10" s="27" t="str">
        <x:v>Instabilidade de conexão Wi-Fi no tablet do caixa</x:v>
      </x:c>
      <x:c r="F10" s="27" t="str">
        <x:v>FICTÍCIO/SIMULADO — conferir os registros disponíveis e efetuar ajuste manual somente após validação</x:v>
      </x:c>
      <x:c r="G10" s="27" t="str">
        <x:v>Paulo Henrique Ribeiro (gerente — simulação)</x:v>
      </x:c>
      <x:c r="H10" s="27" t="str">
        <x:v>FICTÍCIO/SIMULADO</x:v>
      </x:c>
      <x:c r="I10" s="27" t="str">
        <x:v>Ocorrência fictícia para exercício; horários variados e aproximados, sem pretensão de reproduzir registro real.</x:v>
      </x:c>
    </x:row>
    <x:row r="11" ht="54" customHeight="1">
      <x:c r="A11" s="47" t="n">
        <x:v>45782</x:v>
      </x:c>
      <x:c r="B11" s="27" t="str">
        <x:v>segunda-feira</x:v>
      </x:c>
      <x:c r="C11" s="27" t="str">
        <x:v>Entrada e saída</x:v>
      </x:c>
      <x:c r="D11" s="27" t="str">
        <x:v>12:57 e 21:42</x:v>
      </x:c>
      <x:c r="E11" s="27" t="str">
        <x:v>Falha de comunicação entre o tablet do caixa e o sistema</x:v>
      </x:c>
      <x:c r="F11" s="27" t="str">
        <x:v>FICTÍCIO/SIMULADO — conferir os registros disponíveis e efetuar ajuste manual somente após validação</x:v>
      </x:c>
      <x:c r="G11" s="27" t="str">
        <x:v>Paulo Henrique Ribeiro (gerente — simulação)</x:v>
      </x:c>
      <x:c r="H11" s="27" t="str">
        <x:v>FICTÍCIO/SIMULADO</x:v>
      </x:c>
      <x:c r="I11" s="27" t="str">
        <x:v>Ocorrência fictícia para exercício; horários variados e aproximados, sem pretensão de reproduzir registro real.</x:v>
      </x:c>
    </x:row>
    <x:row r="12" ht="54" customHeight="1">
      <x:c r="A12" s="47" t="n">
        <x:v>45789</x:v>
      </x:c>
      <x:c r="B12" s="27" t="str">
        <x:v>segunda-feira</x:v>
      </x:c>
      <x:c r="C12" s="27" t="str">
        <x:v>Entrada</x:v>
      </x:c>
      <x:c r="D12" s="27" t="str">
        <x:v>13:01</x:v>
      </x:c>
      <x:c r="E12" s="27" t="str">
        <x:v>Instabilidade de conexão Wi-Fi no tablet do caixa</x:v>
      </x:c>
      <x:c r="F12" s="27" t="str">
        <x:v>FICTÍCIO/SIMULADO — conferir os registros disponíveis e efetuar ajuste manual somente após validação</x:v>
      </x:c>
      <x:c r="G12" s="27" t="str">
        <x:v>Paulo Henrique Ribeiro (gerente — simulação)</x:v>
      </x:c>
      <x:c r="H12" s="27" t="str">
        <x:v>FICTÍCIO/SIMULADO</x:v>
      </x:c>
      <x:c r="I12" s="27" t="str">
        <x:v>Ocorrência fictícia para exercício; horários variados e aproximados, sem pretensão de reproduzir registro real.</x:v>
      </x:c>
    </x:row>
    <x:row r="13" ht="54" customHeight="1">
      <x:c r="A13" s="47" t="n">
        <x:v>45800</x:v>
      </x:c>
      <x:c r="B13" s="27" t="str">
        <x:v>sexta-feira</x:v>
      </x:c>
      <x:c r="C13" s="27" t="str">
        <x:v>Saída</x:v>
      </x:c>
      <x:c r="D13" s="27" t="str">
        <x:v>21:42</x:v>
      </x:c>
      <x:c r="E13" s="27" t="str">
        <x:v>Ausência/intermitência de sinal no local de registro</x:v>
      </x:c>
      <x:c r="F13" s="27" t="str">
        <x:v>FICTÍCIO/SIMULADO — conferir os registros disponíveis e efetuar ajuste manual somente após validação</x:v>
      </x:c>
      <x:c r="G13" s="27" t="str">
        <x:v>Paulo Henrique Ribeiro (gerente — simulação)</x:v>
      </x:c>
      <x:c r="H13" s="27" t="str">
        <x:v>FICTÍCIO/SIMULADO</x:v>
      </x:c>
      <x:c r="I13" s="27" t="str">
        <x:v>Ocorrência fictícia para exercício; horários variados e aproximados, sem pretensão de reproduzir registro real.</x:v>
      </x:c>
    </x:row>
    <x:row r="14" ht="54" customHeight="1">
      <x:c r="A14" s="47" t="n">
        <x:v>45813</x:v>
      </x:c>
      <x:c r="B14" s="27" t="str">
        <x:v>quinta-feira</x:v>
      </x:c>
      <x:c r="C14" s="27" t="str">
        <x:v>Entrada</x:v>
      </x:c>
      <x:c r="D14" s="27" t="str">
        <x:v>12:59</x:v>
      </x:c>
      <x:c r="E14" s="27" t="str">
        <x:v>Instabilidade de conexão Wi-Fi no tablet do caixa</x:v>
      </x:c>
      <x:c r="F14" s="27" t="str">
        <x:v>FICTÍCIO/SIMULADO — conferir os registros disponíveis e efetuar ajuste manual somente após validação</x:v>
      </x:c>
      <x:c r="G14" s="27" t="str">
        <x:v>Paulo Henrique Ribeiro (gerente — simulação)</x:v>
      </x:c>
      <x:c r="H14" s="27" t="str">
        <x:v>FICTÍCIO/SIMULADO</x:v>
      </x:c>
      <x:c r="I14" s="27" t="str">
        <x:v>Ocorrência fictícia para exercício; horários variados e aproximados, sem pretensão de reproduzir registro real.</x:v>
      </x:c>
    </x:row>
    <x:row r="15" ht="54" customHeight="1">
      <x:c r="A15" s="47" t="n">
        <x:v>45832</x:v>
      </x:c>
      <x:c r="B15" s="27" t="str">
        <x:v>terça-feira</x:v>
      </x:c>
      <x:c r="C15" s="27" t="str">
        <x:v>Entrada e saída</x:v>
      </x:c>
      <x:c r="D15" s="27" t="str">
        <x:v>13:06 e 21:24</x:v>
      </x:c>
      <x:c r="E15" s="27" t="str">
        <x:v>Falha de comunicação entre o tablet do caixa e o sistema</x:v>
      </x:c>
      <x:c r="F15" s="27" t="str">
        <x:v>FICTÍCIO/SIMULADO — conferir os registros disponíveis e efetuar ajuste manual somente após validação</x:v>
      </x:c>
      <x:c r="G15" s="27" t="str">
        <x:v>Paulo Henrique Ribeiro (gerente — simulação)</x:v>
      </x:c>
      <x:c r="H15" s="27" t="str">
        <x:v>FICTÍCIO/SIMULADO</x:v>
      </x:c>
      <x:c r="I15" s="27" t="str">
        <x:v>Ocorrência fictícia para exercício; horários variados e aproximados, sem pretensão de reproduzir registro real.</x:v>
      </x:c>
    </x:row>
    <x:row r="16" ht="54" customHeight="1">
      <x:c r="A16" s="47" t="n">
        <x:v>45842</x:v>
      </x:c>
      <x:c r="B16" s="27" t="str">
        <x:v>sexta-feira</x:v>
      </x:c>
      <x:c r="C16" s="27" t="str">
        <x:v>Saída</x:v>
      </x:c>
      <x:c r="D16" s="27" t="str">
        <x:v>21:28</x:v>
      </x:c>
      <x:c r="E16" s="27" t="str">
        <x:v>Ausência/intermitência de sinal no local de registro</x:v>
      </x:c>
      <x:c r="F16" s="27" t="str">
        <x:v>FICTÍCIO/SIMULADO — conferir os registros disponíveis e efetuar ajuste manual somente após validação</x:v>
      </x:c>
      <x:c r="G16" s="27" t="str">
        <x:v>Paulo Henrique Ribeiro (gerente — simulação)</x:v>
      </x:c>
      <x:c r="H16" s="27" t="str">
        <x:v>FICTÍCIO/SIMULADO</x:v>
      </x:c>
      <x:c r="I16" s="27" t="str">
        <x:v>Ocorrência fictícia para exercício; horários variados e aproximados, sem pretensão de reproduzir registro real.</x:v>
      </x:c>
    </x:row>
    <x:row r="17" ht="54" customHeight="1">
      <x:c r="A17" s="47" t="n">
        <x:v>45849</x:v>
      </x:c>
      <x:c r="B17" s="27" t="str">
        <x:v>sexta-feira</x:v>
      </x:c>
      <x:c r="C17" s="27" t="str">
        <x:v>Entrada e saída</x:v>
      </x:c>
      <x:c r="D17" s="27" t="str">
        <x:v>12:55 e 21:24</x:v>
      </x:c>
      <x:c r="E17" s="27" t="str">
        <x:v>Falha de comunicação entre o tablet do caixa e o sistema</x:v>
      </x:c>
      <x:c r="F17" s="27" t="str">
        <x:v>FICTÍCIO/SIMULADO — conferir os registros disponíveis e efetuar ajuste manual somente após validação</x:v>
      </x:c>
      <x:c r="G17" s="27" t="str">
        <x:v>Paulo Henrique Ribeiro (gerente — simulação)</x:v>
      </x:c>
      <x:c r="H17" s="27" t="str">
        <x:v>FICTÍCIO/SIMULADO</x:v>
      </x:c>
      <x:c r="I17" s="27" t="str">
        <x:v>Ocorrência fictícia para exercício; horários variados e aproximados, sem pretensão de reproduzir registro real.</x:v>
      </x:c>
    </x:row>
    <x:row r="18" ht="54" customHeight="1">
      <x:c r="A18" s="47" t="n">
        <x:v>45862</x:v>
      </x:c>
      <x:c r="B18" s="27" t="str">
        <x:v>quinta-feira</x:v>
      </x:c>
      <x:c r="C18" s="27" t="str">
        <x:v>Entrada</x:v>
      </x:c>
      <x:c r="D18" s="27" t="str">
        <x:v>13:01</x:v>
      </x:c>
      <x:c r="E18" s="27" t="str">
        <x:v>Instabilidade de conexão Wi-Fi no tablet do caixa</x:v>
      </x:c>
      <x:c r="F18" s="27" t="str">
        <x:v>FICTÍCIO/SIMULADO — conferir os registros disponíveis e efetuar ajuste manual somente após validação</x:v>
      </x:c>
      <x:c r="G18" s="27" t="str">
        <x:v>Paulo Henrique Ribeiro (gerente — simulação)</x:v>
      </x:c>
      <x:c r="H18" s="27" t="str">
        <x:v>FICTÍCIO/SIMULADO</x:v>
      </x:c>
      <x:c r="I18" s="27" t="str">
        <x:v>Ocorrência fictícia para exercício; horários variados e aproximados, sem pretensão de reproduzir registro real.</x:v>
      </x:c>
    </x:row>
    <x:row r="19" ht="54" customHeight="1">
      <x:c r="A19" s="47" t="n">
        <x:v>45874</x:v>
      </x:c>
      <x:c r="B19" s="27" t="str">
        <x:v>terça-feira</x:v>
      </x:c>
      <x:c r="C19" s="27" t="str">
        <x:v>Entrada e saída</x:v>
      </x:c>
      <x:c r="D19" s="27" t="str">
        <x:v>13:04 e 21:30</x:v>
      </x:c>
      <x:c r="E19" s="27" t="str">
        <x:v>Falha de comunicação entre o tablet do caixa e o sistema</x:v>
      </x:c>
      <x:c r="F19" s="27" t="str">
        <x:v>FICTÍCIO/SIMULADO — conferir os registros disponíveis e efetuar ajuste manual somente após validação</x:v>
      </x:c>
      <x:c r="G19" s="27" t="str">
        <x:v>Paulo Henrique Ribeiro (gerente — simulação)</x:v>
      </x:c>
      <x:c r="H19" s="27" t="str">
        <x:v>FICTÍCIO/SIMULADO</x:v>
      </x:c>
      <x:c r="I19" s="27" t="str">
        <x:v>Ocorrência fictícia para exercício; horários variados e aproximados, sem pretensão de reproduzir registro real.</x:v>
      </x:c>
    </x:row>
    <x:row r="20" ht="54" customHeight="1">
      <x:c r="A20" s="47" t="n">
        <x:v>45881</x:v>
      </x:c>
      <x:c r="B20" s="27" t="str">
        <x:v>terça-feira</x:v>
      </x:c>
      <x:c r="C20" s="27" t="str">
        <x:v>Entrada</x:v>
      </x:c>
      <x:c r="D20" s="27" t="str">
        <x:v>13:02</x:v>
      </x:c>
      <x:c r="E20" s="27" t="str">
        <x:v>Instabilidade de conexão Wi-Fi no tablet do caixa</x:v>
      </x:c>
      <x:c r="F20" s="27" t="str">
        <x:v>FICTÍCIO/SIMULADO — conferir os registros disponíveis e efetuar ajuste manual somente após validação</x:v>
      </x:c>
      <x:c r="G20" s="27" t="str">
        <x:v>Paulo Henrique Ribeiro (gerente — simulação)</x:v>
      </x:c>
      <x:c r="H20" s="27" t="str">
        <x:v>FICTÍCIO/SIMULADO</x:v>
      </x:c>
      <x:c r="I20" s="27" t="str">
        <x:v>Ocorrência fictícia para exercício; horários variados e aproximados, sem pretensão de reproduzir registro real.</x:v>
      </x:c>
    </x:row>
    <x:row r="21" ht="54" customHeight="1">
      <x:c r="A21" s="47" t="n">
        <x:v>45894</x:v>
      </x:c>
      <x:c r="B21" s="27" t="str">
        <x:v>segunda-feira</x:v>
      </x:c>
      <x:c r="C21" s="27" t="str">
        <x:v>Saída</x:v>
      </x:c>
      <x:c r="D21" s="27" t="str">
        <x:v>21:38</x:v>
      </x:c>
      <x:c r="E21" s="27" t="str">
        <x:v>Ausência/intermitência de sinal no local de registro</x:v>
      </x:c>
      <x:c r="F21" s="27" t="str">
        <x:v>FICTÍCIO/SIMULADO — conferir os registros disponíveis e efetuar ajuste manual somente após validação</x:v>
      </x:c>
      <x:c r="G21" s="27" t="str">
        <x:v>Paulo Henrique Ribeiro (gerente — simulação)</x:v>
      </x:c>
      <x:c r="H21" s="27" t="str">
        <x:v>FICTÍCIO/SIMULADO</x:v>
      </x:c>
      <x:c r="I21" s="27" t="str">
        <x:v>Ocorrência fictícia para exercício; horários variados e aproximados, sem pretensão de reproduzir registro real.</x:v>
      </x:c>
    </x:row>
    <x:row r="22" ht="54" customHeight="1">
      <x:c r="A22" s="47" t="n">
        <x:v>45905</x:v>
      </x:c>
      <x:c r="B22" s="27" t="str">
        <x:v>sexta-feira</x:v>
      </x:c>
      <x:c r="C22" s="27" t="str">
        <x:v>Entrada</x:v>
      </x:c>
      <x:c r="D22" s="27" t="str">
        <x:v>13:04</x:v>
      </x:c>
      <x:c r="E22" s="27" t="str">
        <x:v>Instabilidade de conexão Wi-Fi no tablet do caixa</x:v>
      </x:c>
      <x:c r="F22" s="27" t="str">
        <x:v>FICTÍCIO/SIMULADO — conferir os registros disponíveis e efetuar ajuste manual somente após validação</x:v>
      </x:c>
      <x:c r="G22" s="27" t="str">
        <x:v>Paulo Henrique Ribeiro (gerente — simulação)</x:v>
      </x:c>
      <x:c r="H22" s="27" t="str">
        <x:v>FICTÍCIO/SIMULADO</x:v>
      </x:c>
      <x:c r="I22" s="27" t="str">
        <x:v>Ocorrência fictícia para exercício; horários variados e aproximados, sem pretensão de reproduzir registro real.</x:v>
      </x:c>
    </x:row>
    <x:row r="23" ht="54" customHeight="1">
      <x:c r="A23" s="47" t="n">
        <x:v>45912</x:v>
      </x:c>
      <x:c r="B23" s="27" t="str">
        <x:v>sexta-feira</x:v>
      </x:c>
      <x:c r="C23" s="27" t="str">
        <x:v>Saída</x:v>
      </x:c>
      <x:c r="D23" s="27" t="str">
        <x:v>21:42</x:v>
      </x:c>
      <x:c r="E23" s="27" t="str">
        <x:v>Ausência/intermitência de sinal no local de registro</x:v>
      </x:c>
      <x:c r="F23" s="27" t="str">
        <x:v>FICTÍCIO/SIMULADO — conferir os registros disponíveis e efetuar ajuste manual somente após validação</x:v>
      </x:c>
      <x:c r="G23" s="27" t="str">
        <x:v>Paulo Henrique Ribeiro (gerente — simulação)</x:v>
      </x:c>
      <x:c r="H23" s="27" t="str">
        <x:v>FICTÍCIO/SIMULADO</x:v>
      </x:c>
      <x:c r="I23" s="27" t="str">
        <x:v>Ocorrência fictícia para exercício; horários variados e aproximados, sem pretensão de reproduzir registro real.</x:v>
      </x:c>
    </x:row>
    <x:row r="24" ht="54" customHeight="1">
      <x:c r="A24" s="47" t="n">
        <x:v>45924</x:v>
      </x:c>
      <x:c r="B24" s="27" t="str">
        <x:v>quarta-feira</x:v>
      </x:c>
      <x:c r="C24" s="27" t="str">
        <x:v>Entrada e saída</x:v>
      </x:c>
      <x:c r="D24" s="27" t="str">
        <x:v>12:59 e 21:35</x:v>
      </x:c>
      <x:c r="E24" s="27" t="str">
        <x:v>Falha de comunicação entre o tablet do caixa e o sistema</x:v>
      </x:c>
      <x:c r="F24" s="27" t="str">
        <x:v>FICTÍCIO/SIMULADO — conferir os registros disponíveis e efetuar ajuste manual somente após validação</x:v>
      </x:c>
      <x:c r="G24" s="27" t="str">
        <x:v>Paulo Henrique Ribeiro (gerente — simulação)</x:v>
      </x:c>
      <x:c r="H24" s="27" t="str">
        <x:v>FICTÍCIO/SIMULADO</x:v>
      </x:c>
      <x:c r="I24" s="27" t="str">
        <x:v>Ocorrência fictícia para exercício; horários variados e aproximados, sem pretensão de reproduzir registro real.</x:v>
      </x:c>
    </x:row>
    <x:row r="25" ht="54" customHeight="1">
      <x:c r="A25" s="47" t="n">
        <x:v>45936</x:v>
      </x:c>
      <x:c r="B25" s="27" t="str">
        <x:v>segunda-feira</x:v>
      </x:c>
      <x:c r="C25" s="27" t="str">
        <x:v>Saída</x:v>
      </x:c>
      <x:c r="D25" s="27" t="str">
        <x:v>21:32</x:v>
      </x:c>
      <x:c r="E25" s="27" t="str">
        <x:v>Ausência/intermitência de sinal no local de registro</x:v>
      </x:c>
      <x:c r="F25" s="27" t="str">
        <x:v>FICTÍCIO/SIMULADO — conferir os registros disponíveis e efetuar ajuste manual somente após validação</x:v>
      </x:c>
      <x:c r="G25" s="27" t="str">
        <x:v>Paulo Henrique Ribeiro (gerente — simulação)</x:v>
      </x:c>
      <x:c r="H25" s="27" t="str">
        <x:v>FICTÍCIO/SIMULADO</x:v>
      </x:c>
      <x:c r="I25" s="27" t="str">
        <x:v>Ocorrência fictícia para exercício; horários variados e aproximados, sem pretensão de reproduzir registro real.</x:v>
      </x:c>
    </x:row>
    <x:row r="26" ht="54" customHeight="1">
      <x:c r="A26" s="47" t="n">
        <x:v>45943</x:v>
      </x:c>
      <x:c r="B26" s="27" t="str">
        <x:v>segunda-feira</x:v>
      </x:c>
      <x:c r="C26" s="27" t="str">
        <x:v>Entrada e saída</x:v>
      </x:c>
      <x:c r="D26" s="27" t="str">
        <x:v>12:57 e 21:35</x:v>
      </x:c>
      <x:c r="E26" s="27" t="str">
        <x:v>Falha de comunicação entre o tablet do caixa e o sistema</x:v>
      </x:c>
      <x:c r="F26" s="27" t="str">
        <x:v>FICTÍCIO/SIMULADO — conferir os registros disponíveis e efetuar ajuste manual somente após validação</x:v>
      </x:c>
      <x:c r="G26" s="27" t="str">
        <x:v>Paulo Henrique Ribeiro (gerente — simulação)</x:v>
      </x:c>
      <x:c r="H26" s="27" t="str">
        <x:v>FICTÍCIO/SIMULADO</x:v>
      </x:c>
      <x:c r="I26" s="27" t="str">
        <x:v>Ocorrência fictícia para exercício; horários variados e aproximados, sem pretensão de reproduzir registro real.</x:v>
      </x:c>
    </x:row>
    <x:row r="27" ht="54" customHeight="1">
      <x:c r="A27" s="47" t="n">
        <x:v>45954</x:v>
      </x:c>
      <x:c r="B27" s="27" t="str">
        <x:v>sexta-feira</x:v>
      </x:c>
      <x:c r="C27" s="27" t="str">
        <x:v>Entrada</x:v>
      </x:c>
      <x:c r="D27" s="27" t="str">
        <x:v>13:06</x:v>
      </x:c>
      <x:c r="E27" s="27" t="str">
        <x:v>Instabilidade de conexão Wi-Fi no tablet do caixa</x:v>
      </x:c>
      <x:c r="F27" s="27" t="str">
        <x:v>FICTÍCIO/SIMULADO — conferir os registros disponíveis e efetuar ajuste manual somente após validação</x:v>
      </x:c>
      <x:c r="G27" s="27" t="str">
        <x:v>Paulo Henrique Ribeiro (gerente — simulação)</x:v>
      </x:c>
      <x:c r="H27" s="27" t="str">
        <x:v>FICTÍCIO/SIMULADO</x:v>
      </x:c>
      <x:c r="I27" s="27" t="str">
        <x:v>Ocorrência fictícia para exercício; horários variados e aproximados, sem pretensão de reproduzir registro real.</x:v>
      </x:c>
    </x:row>
    <x:row r="28" ht="54" customHeight="1">
      <x:c r="A28" s="47" t="n">
        <x:v>45966</x:v>
      </x:c>
      <x:c r="B28" s="27" t="str">
        <x:v>quarta-feira</x:v>
      </x:c>
      <x:c r="C28" s="27" t="str">
        <x:v>Entrada e saída</x:v>
      </x:c>
      <x:c r="D28" s="27" t="str">
        <x:v>12:58 e 21:35</x:v>
      </x:c>
      <x:c r="E28" s="27" t="str">
        <x:v>Falha de comunicação entre o tablet do caixa e o sistema</x:v>
      </x:c>
      <x:c r="F28" s="27" t="str">
        <x:v>FICTÍCIO/SIMULADO — conferir os registros disponíveis e efetuar ajuste manual somente após validação</x:v>
      </x:c>
      <x:c r="G28" s="27" t="str">
        <x:v>Paulo Henrique Ribeiro (gerente — simulação)</x:v>
      </x:c>
      <x:c r="H28" s="27" t="str">
        <x:v>FICTÍCIO/SIMULADO</x:v>
      </x:c>
      <x:c r="I28" s="27" t="str">
        <x:v>Ocorrência fictícia para exercício; horários variados e aproximados, sem pretensão de reproduzir registro real.</x:v>
      </x:c>
    </x:row>
    <x:row r="29" ht="54" customHeight="1">
      <x:c r="A29" s="47" t="n">
        <x:v>45973</x:v>
      </x:c>
      <x:c r="B29" s="27" t="str">
        <x:v>quarta-feira</x:v>
      </x:c>
      <x:c r="C29" s="27" t="str">
        <x:v>Entrada</x:v>
      </x:c>
      <x:c r="D29" s="27" t="str">
        <x:v>12:55</x:v>
      </x:c>
      <x:c r="E29" s="27" t="str">
        <x:v>Instabilidade de conexão Wi-Fi no tablet do caixa</x:v>
      </x:c>
      <x:c r="F29" s="27" t="str">
        <x:v>FICTÍCIO/SIMULADO — conferir os registros disponíveis e efetuar ajuste manual somente após validação</x:v>
      </x:c>
      <x:c r="G29" s="27" t="str">
        <x:v>Paulo Henrique Ribeiro (gerente — simulação)</x:v>
      </x:c>
      <x:c r="H29" s="27" t="str">
        <x:v>FICTÍCIO/SIMULADO</x:v>
      </x:c>
      <x:c r="I29" s="27" t="str">
        <x:v>Ocorrência fictícia para exercício; horários variados e aproximados, sem pretensão de reproduzir registro real.</x:v>
      </x:c>
    </x:row>
    <x:row r="30" ht="54" customHeight="1">
      <x:c r="A30" s="47" t="n">
        <x:v>45985</x:v>
      </x:c>
      <x:c r="B30" s="27" t="str">
        <x:v>segunda-feira</x:v>
      </x:c>
      <x:c r="C30" s="27" t="str">
        <x:v>Saída</x:v>
      </x:c>
      <x:c r="D30" s="27" t="str">
        <x:v>21:26</x:v>
      </x:c>
      <x:c r="E30" s="27" t="str">
        <x:v>Ausência/intermitência de sinal no local de registro</x:v>
      </x:c>
      <x:c r="F30" s="27" t="str">
        <x:v>FICTÍCIO/SIMULADO — conferir os registros disponíveis e efetuar ajuste manual somente após validação</x:v>
      </x:c>
      <x:c r="G30" s="27" t="str">
        <x:v>Paulo Henrique Ribeiro (gerente — simulação)</x:v>
      </x:c>
      <x:c r="H30" s="27" t="str">
        <x:v>FICTÍCIO/SIMULADO</x:v>
      </x:c>
      <x:c r="I30" s="27" t="str">
        <x:v>Ocorrência fictícia para exercício; horários variados e aproximados, sem pretensão de reproduzir registro real.</x:v>
      </x:c>
    </x:row>
    <x:row r="31" ht="54" customHeight="1">
      <x:c r="A31" s="47" t="n">
        <x:v>45996</x:v>
      </x:c>
      <x:c r="B31" s="27" t="str">
        <x:v>sexta-feira</x:v>
      </x:c>
      <x:c r="C31" s="27" t="str">
        <x:v>Entrada</x:v>
      </x:c>
      <x:c r="D31" s="27" t="str">
        <x:v>12:57</x:v>
      </x:c>
      <x:c r="E31" s="27" t="str">
        <x:v>Instabilidade de conexão Wi-Fi no tablet do caixa</x:v>
      </x:c>
      <x:c r="F31" s="27" t="str">
        <x:v>FICTÍCIO/SIMULADO — conferir os registros disponíveis e efetuar ajuste manual somente após validação</x:v>
      </x:c>
      <x:c r="G31" s="27" t="str">
        <x:v>Paulo Henrique Ribeiro (gerente — simulação)</x:v>
      </x:c>
      <x:c r="H31" s="27" t="str">
        <x:v>FICTÍCIO/SIMULADO</x:v>
      </x:c>
      <x:c r="I31" s="27" t="str">
        <x:v>Ocorrência fictícia para exercício; horários variados e aproximados, sem pretensão de reproduzir registro real.</x:v>
      </x:c>
    </x:row>
    <x:row r="32" ht="54" customHeight="1">
      <x:c r="A32" s="47" t="n">
        <x:v>46003</x:v>
      </x:c>
      <x:c r="B32" s="27" t="str">
        <x:v>sexta-feira</x:v>
      </x:c>
      <x:c r="C32" s="27" t="str">
        <x:v>Saída</x:v>
      </x:c>
      <x:c r="D32" s="27" t="str">
        <x:v>21:26</x:v>
      </x:c>
      <x:c r="E32" s="27" t="str">
        <x:v>Ausência/intermitência de sinal no local de registro</x:v>
      </x:c>
      <x:c r="F32" s="27" t="str">
        <x:v>FICTÍCIO/SIMULADO — conferir os registros disponíveis e efetuar ajuste manual somente após validação</x:v>
      </x:c>
      <x:c r="G32" s="27" t="str">
        <x:v>Paulo Henrique Ribeiro (gerente — simulação)</x:v>
      </x:c>
      <x:c r="H32" s="27" t="str">
        <x:v>FICTÍCIO/SIMULADO</x:v>
      </x:c>
      <x:c r="I32" s="27" t="str">
        <x:v>Ocorrência fictícia para exercício; horários variados e aproximados, sem pretensão de reproduzir registro real.</x:v>
      </x:c>
    </x:row>
    <x:row r="33" ht="54" customHeight="1">
      <x:c r="A33" s="47" t="n">
        <x:v>46015</x:v>
      </x:c>
      <x:c r="B33" s="27" t="str">
        <x:v>quarta-feira</x:v>
      </x:c>
      <x:c r="C33" s="27" t="str">
        <x:v>Entrada e saída</x:v>
      </x:c>
      <x:c r="D33" s="27" t="str">
        <x:v>12:58 e 21:22</x:v>
      </x:c>
      <x:c r="E33" s="27" t="str">
        <x:v>Falha de comunicação entre o tablet do caixa e o sistema</x:v>
      </x:c>
      <x:c r="F33" s="27" t="str">
        <x:v>FICTÍCIO/SIMULADO — conferir os registros disponíveis e efetuar ajuste manual somente após validação</x:v>
      </x:c>
      <x:c r="G33" s="27" t="str">
        <x:v>Paulo Henrique Ribeiro (gerente — simulação)</x:v>
      </x:c>
      <x:c r="H33" s="27" t="str">
        <x:v>FICTÍCIO/SIMULADO</x:v>
      </x:c>
      <x:c r="I33" s="27" t="str">
        <x:v>Ocorrência fictícia para exercício; horários variados e aproximados, sem pretensão de reproduzir registro real.</x:v>
      </x:c>
    </x:row>
    <x:row r="34" ht="54" customHeight="1">
      <x:c r="A34" s="47" t="n">
        <x:v>46027</x:v>
      </x:c>
      <x:c r="B34" s="27" t="str">
        <x:v>segunda-feira</x:v>
      </x:c>
      <x:c r="C34" s="27" t="str">
        <x:v>Saída</x:v>
      </x:c>
      <x:c r="D34" s="27" t="str">
        <x:v>21:30</x:v>
      </x:c>
      <x:c r="E34" s="27" t="str">
        <x:v>Ausência/intermitência de sinal no local de registro</x:v>
      </x:c>
      <x:c r="F34" s="27" t="str">
        <x:v>FICTÍCIO/SIMULADO — conferir os registros disponíveis e efetuar ajuste manual somente após validação</x:v>
      </x:c>
      <x:c r="G34" s="27" t="str">
        <x:v>Paulo Henrique Ribeiro (gerente — simulação)</x:v>
      </x:c>
      <x:c r="H34" s="27" t="str">
        <x:v>FICTÍCIO/SIMULADO</x:v>
      </x:c>
      <x:c r="I34" s="27" t="str">
        <x:v>Ocorrência fictícia para exercício; horários variados e aproximados, sem pretensão de reproduzir registro real.</x:v>
      </x:c>
    </x:row>
    <x:row r="35" ht="54" customHeight="1">
      <x:c r="A35" s="47" t="n">
        <x:v>46034</x:v>
      </x:c>
      <x:c r="B35" s="27" t="str">
        <x:v>segunda-feira</x:v>
      </x:c>
      <x:c r="C35" s="27" t="str">
        <x:v>Entrada e saída</x:v>
      </x:c>
      <x:c r="D35" s="27" t="str">
        <x:v>12:57 e 21:42</x:v>
      </x:c>
      <x:c r="E35" s="27" t="str">
        <x:v>Falha de comunicação entre o tablet do caixa e o sistema</x:v>
      </x:c>
      <x:c r="F35" s="27" t="str">
        <x:v>FICTÍCIO/SIMULADO — conferir os registros disponíveis e efetuar ajuste manual somente após validação</x:v>
      </x:c>
      <x:c r="G35" s="27" t="str">
        <x:v>Paulo Henrique Ribeiro (gerente — simulação)</x:v>
      </x:c>
      <x:c r="H35" s="27" t="str">
        <x:v>FICTÍCIO/SIMULADO</x:v>
      </x:c>
      <x:c r="I35" s="27" t="str">
        <x:v>Ocorrência fictícia para exercício; horários variados e aproximados, sem pretensão de reproduzir registro real.</x:v>
      </x:c>
    </x:row>
    <x:row r="36" ht="54" customHeight="1">
      <x:c r="A36" s="47" t="n">
        <x:v>46045</x:v>
      </x:c>
      <x:c r="B36" s="27" t="str">
        <x:v>sexta-feira</x:v>
      </x:c>
      <x:c r="C36" s="27" t="str">
        <x:v>Entrada</x:v>
      </x:c>
      <x:c r="D36" s="27" t="str">
        <x:v>12:58</x:v>
      </x:c>
      <x:c r="E36" s="27" t="str">
        <x:v>Instabilidade de conexão Wi-Fi no tablet do caixa</x:v>
      </x:c>
      <x:c r="F36" s="27" t="str">
        <x:v>FICTÍCIO/SIMULADO — conferir os registros disponíveis e efetuar ajuste manual somente após validação</x:v>
      </x:c>
      <x:c r="G36" s="27" t="str">
        <x:v>Paulo Henrique Ribeiro (gerente — simulação)</x:v>
      </x:c>
      <x:c r="H36" s="27" t="str">
        <x:v>FICTÍCIO/SIMULADO</x:v>
      </x:c>
      <x:c r="I36" s="27" t="str">
        <x:v>Ocorrência fictícia para exercício; horários variados e aproximados, sem pretensão de reproduzir registro real.</x:v>
      </x:c>
    </x:row>
    <x:row r="37" ht="54" customHeight="1">
      <x:c r="A37" s="47" t="n">
        <x:v>46058</x:v>
      </x:c>
      <x:c r="B37" s="27" t="str">
        <x:v>quinta-feira</x:v>
      </x:c>
      <x:c r="C37" s="27" t="str">
        <x:v>Entrada e saída</x:v>
      </x:c>
      <x:c r="D37" s="27" t="str">
        <x:v>13:01 e 21:24</x:v>
      </x:c>
      <x:c r="E37" s="27" t="str">
        <x:v>Falha de comunicação entre o tablet do caixa e o sistema</x:v>
      </x:c>
      <x:c r="F37" s="27" t="str">
        <x:v>FICTÍCIO/SIMULADO — conferir os registros disponíveis e efetuar ajuste manual somente após validação</x:v>
      </x:c>
      <x:c r="G37" s="27" t="str">
        <x:v>Paulo Henrique Ribeiro (gerente — simulação)</x:v>
      </x:c>
      <x:c r="H37" s="27" t="str">
        <x:v>FICTÍCIO/SIMULADO</x:v>
      </x:c>
      <x:c r="I37" s="27" t="str">
        <x:v>Ocorrência fictícia para exercício; horários variados e aproximados, sem pretensão de reproduzir registro real.</x:v>
      </x:c>
    </x:row>
    <x:row r="38" ht="54" customHeight="1">
      <x:c r="A38" s="47" t="n">
        <x:v>46065</x:v>
      </x:c>
      <x:c r="B38" s="27" t="str">
        <x:v>quinta-feira</x:v>
      </x:c>
      <x:c r="C38" s="27" t="str">
        <x:v>Entrada</x:v>
      </x:c>
      <x:c r="D38" s="27" t="str">
        <x:v>12:55</x:v>
      </x:c>
      <x:c r="E38" s="27" t="str">
        <x:v>Instabilidade de conexão Wi-Fi no tablet do caixa</x:v>
      </x:c>
      <x:c r="F38" s="27" t="str">
        <x:v>FICTÍCIO/SIMULADO — conferir os registros disponíveis e efetuar ajuste manual somente após validação</x:v>
      </x:c>
      <x:c r="G38" s="27" t="str">
        <x:v>Paulo Henrique Ribeiro (gerente — simulação)</x:v>
      </x:c>
      <x:c r="H38" s="27" t="str">
        <x:v>FICTÍCIO/SIMULADO</x:v>
      </x:c>
      <x:c r="I38" s="27" t="str">
        <x:v>Ocorrência fictícia para exercício; horários variados e aproximados, sem pretensão de reproduzir registro real.</x:v>
      </x:c>
    </x:row>
    <x:row r="39" ht="54" customHeight="1">
      <x:c r="A39" s="47" t="n">
        <x:v>46077</x:v>
      </x:c>
      <x:c r="B39" s="27" t="str">
        <x:v>terça-feira</x:v>
      </x:c>
      <x:c r="C39" s="27" t="str">
        <x:v>Saída</x:v>
      </x:c>
      <x:c r="D39" s="27" t="str">
        <x:v>21:38</x:v>
      </x:c>
      <x:c r="E39" s="27" t="str">
        <x:v>Ausência/intermitência de sinal no local de registro</x:v>
      </x:c>
      <x:c r="F39" s="27" t="str">
        <x:v>FICTÍCIO/SIMULADO — conferir os registros disponíveis e efetuar ajuste manual somente após validação</x:v>
      </x:c>
      <x:c r="G39" s="27" t="str">
        <x:v>Paulo Henrique Ribeiro (gerente — simulação)</x:v>
      </x:c>
      <x:c r="H39" s="27" t="str">
        <x:v>FICTÍCIO/SIMULADO</x:v>
      </x:c>
      <x:c r="I39" s="27" t="str">
        <x:v>Ocorrência fictícia para exercício; horários variados e aproximados, sem pretensão de reproduzir registro real.</x:v>
      </x:c>
    </x:row>
    <x:row r="40" ht="54" customHeight="1">
      <x:c r="A40" s="47" t="n">
        <x:v>46086</x:v>
      </x:c>
      <x:c r="B40" s="27" t="str">
        <x:v>quinta-feira</x:v>
      </x:c>
      <x:c r="C40" s="27" t="str">
        <x:v>Entrada</x:v>
      </x:c>
      <x:c r="D40" s="27" t="str">
        <x:v>13:04</x:v>
      </x:c>
      <x:c r="E40" s="27" t="str">
        <x:v>Instabilidade de conexão Wi-Fi no tablet do caixa</x:v>
      </x:c>
      <x:c r="F40" s="27" t="str">
        <x:v>FICTÍCIO/SIMULADO — conferir os registros disponíveis e efetuar ajuste manual somente após validação</x:v>
      </x:c>
      <x:c r="G40" s="27" t="str">
        <x:v>Paulo Henrique Ribeiro (gerente — simulação)</x:v>
      </x:c>
      <x:c r="H40" s="27" t="str">
        <x:v>FICTÍCIO/SIMULADO</x:v>
      </x:c>
      <x:c r="I40" s="27" t="str">
        <x:v>Ocorrência fictícia para exercício; horários variados e aproximados, sem pretensão de reproduzir registro real.</x:v>
      </x:c>
    </x:row>
    <x:row r="41" ht="54" customHeight="1">
      <x:c r="A41" s="47" t="n">
        <x:v>46093</x:v>
      </x:c>
      <x:c r="B41" s="27" t="str">
        <x:v>quinta-feira</x:v>
      </x:c>
      <x:c r="C41" s="27" t="str">
        <x:v>Saída</x:v>
      </x:c>
      <x:c r="D41" s="27" t="str">
        <x:v>21:32</x:v>
      </x:c>
      <x:c r="E41" s="27" t="str">
        <x:v>Ausência/intermitência de sinal no local de registro</x:v>
      </x:c>
      <x:c r="F41" s="27" t="str">
        <x:v>FICTÍCIO/SIMULADO — conferir os registros disponíveis e efetuar ajuste manual somente após validação</x:v>
      </x:c>
      <x:c r="G41" s="27" t="str">
        <x:v>Paulo Henrique Ribeiro (gerente — simulação)</x:v>
      </x:c>
      <x:c r="H41" s="27" t="str">
        <x:v>FICTÍCIO/SIMULADO</x:v>
      </x:c>
      <x:c r="I41" s="27" t="str">
        <x:v>Ocorrência fictícia para exercício; horários variados e aproximados, sem pretensão de reproduzir registro real.</x:v>
      </x:c>
    </x:row>
    <x:row r="42" ht="54" customHeight="1">
      <x:c r="A42" s="47" t="n">
        <x:v>46105</x:v>
      </x:c>
      <x:c r="B42" s="27" t="str">
        <x:v>terça-feira</x:v>
      </x:c>
      <x:c r="C42" s="27" t="str">
        <x:v>Entrada e saída</x:v>
      </x:c>
      <x:c r="D42" s="27" t="str">
        <x:v>13:00 e 21:38</x:v>
      </x:c>
      <x:c r="E42" s="27" t="str">
        <x:v>Falha de comunicação entre o tablet do caixa e o sistema</x:v>
      </x:c>
      <x:c r="F42" s="27" t="str">
        <x:v>FICTÍCIO/SIMULADO — conferir os registros disponíveis e efetuar ajuste manual somente após validação</x:v>
      </x:c>
      <x:c r="G42" s="27" t="str">
        <x:v>Paulo Henrique Ribeiro (gerente — simulação)</x:v>
      </x:c>
      <x:c r="H42" s="27" t="str">
        <x:v>FICTÍCIO/SIMULADO</x:v>
      </x:c>
      <x:c r="I42" s="27" t="str">
        <x:v>Ocorrência fictícia para exercício; horários variados e aproximados, sem pretensão de reproduzir registro real.</x:v>
      </x:c>
    </x:row>
    <x:row r="43" ht="54" customHeight="1">
      <x:c r="A43" s="47" t="n">
        <x:v>46118</x:v>
      </x:c>
      <x:c r="B43" s="27" t="str">
        <x:v>segunda-feira</x:v>
      </x:c>
      <x:c r="C43" s="27" t="str">
        <x:v>Saída</x:v>
      </x:c>
      <x:c r="D43" s="27" t="str">
        <x:v>21:26</x:v>
      </x:c>
      <x:c r="E43" s="27" t="str">
        <x:v>Ausência/intermitência de sinal no local de registro</x:v>
      </x:c>
      <x:c r="F43" s="27" t="str">
        <x:v>FICTÍCIO/SIMULADO — conferir os registros disponíveis e efetuar ajuste manual somente após validação</x:v>
      </x:c>
      <x:c r="G43" s="27" t="str">
        <x:v>Paulo Henrique Ribeiro (gerente — simulação)</x:v>
      </x:c>
      <x:c r="H43" s="27" t="str">
        <x:v>FICTÍCIO/SIMULADO</x:v>
      </x:c>
      <x:c r="I43" s="27" t="str">
        <x:v>Ocorrência fictícia para exercício; horários variados e aproximados, sem pretensão de reproduzir registro real.</x:v>
      </x:c>
    </x:row>
    <x:row r="44" ht="54" customHeight="1">
      <x:c r="A44" s="47" t="n">
        <x:v>46125</x:v>
      </x:c>
      <x:c r="B44" s="27" t="str">
        <x:v>segunda-feira</x:v>
      </x:c>
      <x:c r="C44" s="27" t="str">
        <x:v>Entrada e saída</x:v>
      </x:c>
      <x:c r="D44" s="27" t="str">
        <x:v>12:57 e 21:26</x:v>
      </x:c>
      <x:c r="E44" s="27" t="str">
        <x:v>Falha de comunicação entre o tablet do caixa e o sistema</x:v>
      </x:c>
      <x:c r="F44" s="27" t="str">
        <x:v>FICTÍCIO/SIMULADO — conferir os registros disponíveis e efetuar ajuste manual somente após validação</x:v>
      </x:c>
      <x:c r="G44" s="27" t="str">
        <x:v>Paulo Henrique Ribeiro (gerente — simulação)</x:v>
      </x:c>
      <x:c r="H44" s="27" t="str">
        <x:v>FICTÍCIO/SIMULADO</x:v>
      </x:c>
      <x:c r="I44" s="27" t="str">
        <x:v>Ocorrência fictícia para exercício; horários variados e aproximados, sem pretensão de reproduzir registro real.</x:v>
      </x:c>
    </x:row>
    <x:row r="45" ht="54" customHeight="1">
      <x:c r="A45" s="47" t="n">
        <x:v>46136</x:v>
      </x:c>
      <x:c r="B45" s="27" t="str">
        <x:v>sexta-feira</x:v>
      </x:c>
      <x:c r="C45" s="27" t="str">
        <x:v>Entrada</x:v>
      </x:c>
      <x:c r="D45" s="27" t="str">
        <x:v>13:06</x:v>
      </x:c>
      <x:c r="E45" s="27" t="str">
        <x:v>Instabilidade de conexão Wi-Fi no tablet do caixa</x:v>
      </x:c>
      <x:c r="F45" s="27" t="str">
        <x:v>FICTÍCIO/SIMULADO — conferir os registros disponíveis e efetuar ajuste manual somente após validação</x:v>
      </x:c>
      <x:c r="G45" s="27" t="str">
        <x:v>Paulo Henrique Ribeiro (gerente — simulação)</x:v>
      </x:c>
      <x:c r="H45" s="27" t="str">
        <x:v>FICTÍCIO/SIMULADO</x:v>
      </x:c>
      <x:c r="I45" s="27" t="str">
        <x:v>Ocorrência fictícia para exercício; horários variados e aproximados, sem pretensão de reproduzir registro real.</x:v>
      </x:c>
    </x:row>
    <x:row r="46" ht="54" customHeight="1">
      <x:c r="A46" s="47" t="n">
        <x:v>46147</x:v>
      </x:c>
      <x:c r="B46" s="27" t="str">
        <x:v>terça-feira</x:v>
      </x:c>
      <x:c r="C46" s="27" t="str">
        <x:v>Entrada e saída</x:v>
      </x:c>
      <x:c r="D46" s="27" t="str">
        <x:v>12:57 e 21:38</x:v>
      </x:c>
      <x:c r="E46" s="27" t="str">
        <x:v>Falha de comunicação entre o tablet do caixa e o sistema</x:v>
      </x:c>
      <x:c r="F46" s="27" t="str">
        <x:v>FICTÍCIO/SIMULADO — conferir os registros disponíveis e efetuar ajuste manual somente após validação</x:v>
      </x:c>
      <x:c r="G46" s="27" t="str">
        <x:v>Paulo Henrique Ribeiro (gerente — simulação)</x:v>
      </x:c>
      <x:c r="H46" s="27" t="str">
        <x:v>FICTÍCIO/SIMULADO</x:v>
      </x:c>
      <x:c r="I46" s="27" t="str">
        <x:v>Ocorrência fictícia para exercício; horários variados e aproximados, sem pretensão de reproduzir registro real.</x:v>
      </x:c>
    </x:row>
    <x:row r="47" ht="54" customHeight="1">
      <x:c r="A47" s="47" t="n">
        <x:v>46154</x:v>
      </x:c>
      <x:c r="B47" s="27" t="str">
        <x:v>terça-feira</x:v>
      </x:c>
      <x:c r="C47" s="27" t="str">
        <x:v>Entrada</x:v>
      </x:c>
      <x:c r="D47" s="27" t="str">
        <x:v>13:00</x:v>
      </x:c>
      <x:c r="E47" s="27" t="str">
        <x:v>Instabilidade de conexão Wi-Fi no tablet do caixa</x:v>
      </x:c>
      <x:c r="F47" s="27" t="str">
        <x:v>FICTÍCIO/SIMULADO — conferir os registros disponíveis e efetuar ajuste manual somente após validação</x:v>
      </x:c>
      <x:c r="G47" s="27" t="str">
        <x:v>Paulo Henrique Ribeiro (gerente — simulação)</x:v>
      </x:c>
      <x:c r="H47" s="27" t="str">
        <x:v>FICTÍCIO/SIMULADO</x:v>
      </x:c>
      <x:c r="I47" s="27" t="str">
        <x:v>Ocorrência fictícia para exercício; horários variados e aproximados, sem pretensão de reproduzir registro real.</x:v>
      </x:c>
    </x:row>
    <x:row r="48" ht="54" customHeight="1">
      <x:c r="A48" s="47" t="n">
        <x:v>46167</x:v>
      </x:c>
      <x:c r="B48" s="27" t="str">
        <x:v>segunda-feira</x:v>
      </x:c>
      <x:c r="C48" s="27" t="str">
        <x:v>Saída</x:v>
      </x:c>
      <x:c r="D48" s="27" t="str">
        <x:v>21:28</x:v>
      </x:c>
      <x:c r="E48" s="27" t="str">
        <x:v>Ausência/intermitência de sinal no local de registro</x:v>
      </x:c>
      <x:c r="F48" s="27" t="str">
        <x:v>FICTÍCIO/SIMULADO — conferir os registros disponíveis e efetuar ajuste manual somente após validação</x:v>
      </x:c>
      <x:c r="G48" s="27" t="str">
        <x:v>Paulo Henrique Ribeiro (gerente — simulação)</x:v>
      </x:c>
      <x:c r="H48" s="27" t="str">
        <x:v>FICTÍCIO/SIMULADO</x:v>
      </x:c>
      <x:c r="I48" s="27" t="str">
        <x:v>Ocorrência fictícia para exercício; horários variados e aproximados, sem pretensão de reproduzir registro real.</x:v>
      </x:c>
    </x:row>
    <x:row r="49" ht="54" customHeight="1">
      <x:c r="A49" s="47" t="n">
        <x:v>46178</x:v>
      </x:c>
      <x:c r="B49" s="27" t="str">
        <x:v>sexta-feira</x:v>
      </x:c>
      <x:c r="C49" s="27" t="str">
        <x:v>Entrada</x:v>
      </x:c>
      <x:c r="D49" s="27" t="str">
        <x:v>12:57</x:v>
      </x:c>
      <x:c r="E49" s="27" t="str">
        <x:v>Instabilidade de conexão Wi-Fi no tablet do caixa</x:v>
      </x:c>
      <x:c r="F49" s="27" t="str">
        <x:v>FICTÍCIO/SIMULADO — conferir os registros disponíveis e efetuar ajuste manual somente após validação</x:v>
      </x:c>
      <x:c r="G49" s="27" t="str">
        <x:v>Paulo Henrique Ribeiro (gerente — simulação)</x:v>
      </x:c>
      <x:c r="H49" s="27" t="str">
        <x:v>FICTÍCIO/SIMULADO</x:v>
      </x:c>
      <x:c r="I49" s="27" t="str">
        <x:v>Ocorrência fictícia para exercício; horários variados e aproximados, sem pretensão de reproduzir registro real.</x:v>
      </x:c>
    </x:row>
    <x:row r="50" ht="54" customHeight="1">
      <x:c r="A50" s="47" t="n">
        <x:v>46185</x:v>
      </x:c>
      <x:c r="B50" s="27" t="str">
        <x:v>sexta-feira</x:v>
      </x:c>
      <x:c r="C50" s="27" t="str">
        <x:v>Saída</x:v>
      </x:c>
      <x:c r="D50" s="27" t="str">
        <x:v>21:22</x:v>
      </x:c>
      <x:c r="E50" s="27" t="str">
        <x:v>Ausência/intermitência de sinal no local de registro</x:v>
      </x:c>
      <x:c r="F50" s="27" t="str">
        <x:v>FICTÍCIO/SIMULADO — conferir os registros disponíveis e efetuar ajuste manual somente após validação</x:v>
      </x:c>
      <x:c r="G50" s="27" t="str">
        <x:v>Paulo Henrique Ribeiro (gerente — simulação)</x:v>
      </x:c>
      <x:c r="H50" s="27" t="str">
        <x:v>FICTÍCIO/SIMULADO</x:v>
      </x:c>
      <x:c r="I50" s="27" t="str">
        <x:v>Ocorrência fictícia para exercício; horários variados e aproximados, sem pretensão de reproduzir registro real. Restaurada da fonte V5 após correção do ano do lançamento de horas extras; não é evidência de saída real.</x:v>
      </x:c>
    </x:row>
    <x:row r="51" ht="54" customHeight="1">
      <x:c r="A51" s="47" t="n">
        <x:v>46197</x:v>
      </x:c>
      <x:c r="B51" s="27" t="str">
        <x:v>quarta-feira</x:v>
      </x:c>
      <x:c r="C51" s="27" t="str">
        <x:v>Entrada e saída</x:v>
      </x:c>
      <x:c r="D51" s="27" t="str">
        <x:v>13:02 e 21:42</x:v>
      </x:c>
      <x:c r="E51" s="27" t="str">
        <x:v>Falha de comunicação entre o tablet do caixa e o sistema</x:v>
      </x:c>
      <x:c r="F51" s="27" t="str">
        <x:v>FICTÍCIO/SIMULADO — conferir os registros disponíveis e efetuar ajuste manual somente após validação</x:v>
      </x:c>
      <x:c r="G51" s="27" t="str">
        <x:v>Paulo Henrique Ribeiro (gerente — simulação)</x:v>
      </x:c>
      <x:c r="H51" s="27" t="str">
        <x:v>FICTÍCIO/SIMULADO</x:v>
      </x:c>
      <x:c r="I51" s="27" t="str">
        <x:v>Ocorrência fictícia para exercício; horários variados e aproximados, sem pretensão de reproduzir registro real.</x:v>
      </x:c>
    </x:row>
    <x:row r="52" ht="54" customHeight="1">
      <x:c r="A52" s="47" t="n">
        <x:v>46209</x:v>
      </x:c>
      <x:c r="B52" s="27" t="str">
        <x:v>segunda-feira</x:v>
      </x:c>
      <x:c r="C52" s="27" t="str">
        <x:v>Saída</x:v>
      </x:c>
      <x:c r="D52" s="27" t="str">
        <x:v>21:28</x:v>
      </x:c>
      <x:c r="E52" s="27" t="str">
        <x:v>Ausência/intermitência de sinal no local de registro</x:v>
      </x:c>
      <x:c r="F52" s="27" t="str">
        <x:v>FICTÍCIO/SIMULADO — conferir os registros disponíveis e efetuar ajuste manual somente após validação</x:v>
      </x:c>
      <x:c r="G52" s="27" t="str">
        <x:v>Paulo Henrique Ribeiro (gerente — simulação)</x:v>
      </x:c>
      <x:c r="H52" s="27" t="str">
        <x:v>FICTÍCIO/SIMULADO</x:v>
      </x:c>
      <x:c r="I52" s="27" t="str">
        <x:v>Ocorrência fictícia para exercício; horários variados e aproximados, sem pretensão de reproduzir registro real.</x:v>
      </x:c>
    </x:row>
    <x:row r="53" ht="54" customHeight="1">
      <x:c r="A53" s="47" t="n">
        <x:v>46216</x:v>
      </x:c>
      <x:c r="B53" s="27" t="str">
        <x:v>segunda-feira</x:v>
      </x:c>
      <x:c r="C53" s="27" t="str">
        <x:v>Entrada e saída</x:v>
      </x:c>
      <x:c r="D53" s="27" t="str">
        <x:v>13:00 e 21:22</x:v>
      </x:c>
      <x:c r="E53" s="27" t="str">
        <x:v>Falha de comunicação entre o tablet do caixa e o sistema</x:v>
      </x:c>
      <x:c r="F53" s="27" t="str">
        <x:v>FICTÍCIO/SIMULADO — conferir os registros disponíveis e efetuar ajuste manual somente após validação</x:v>
      </x:c>
      <x:c r="G53" s="27" t="str">
        <x:v>Paulo Henrique Ribeiro (gerente — simulação)</x:v>
      </x:c>
      <x:c r="H53" s="27" t="str">
        <x:v>FICTÍCIO/SIMULADO</x:v>
      </x:c>
      <x:c r="I53" s="27" t="str">
        <x:v>Ocorrência fictícia para exercício; horários variados e aproximados, sem pretensão de reproduzir registro real.</x:v>
      </x:c>
    </x:row>
    <x:row r="54" ht="54" customHeight="1">
      <x:c r="A54" s="47" t="n">
        <x:v>46227</x:v>
      </x:c>
      <x:c r="B54" s="27" t="str">
        <x:v>sexta-feira</x:v>
      </x:c>
      <x:c r="C54" s="27" t="str">
        <x:v>Entrada</x:v>
      </x:c>
      <x:c r="D54" s="27" t="str">
        <x:v>13:06</x:v>
      </x:c>
      <x:c r="E54" s="27" t="str">
        <x:v>Instabilidade de conexão Wi-Fi no tablet do caixa</x:v>
      </x:c>
      <x:c r="F54" s="27" t="str">
        <x:v>FICTÍCIO/SIMULADO — conferir os registros disponíveis e efetuar ajuste manual somente após validação</x:v>
      </x:c>
      <x:c r="G54" s="27" t="str">
        <x:v>Paulo Henrique Ribeiro (gerente — simulação)</x:v>
      </x:c>
      <x:c r="H54" s="27" t="str">
        <x:v>FICTÍCIO/SIMULADO</x:v>
      </x:c>
      <x:c r="I54" s="27" t="str">
        <x:v>Ocorrência fictícia para exercício; horários variados e aproximados, sem pretensão de reproduzir registro real.</x:v>
      </x:c>
    </x:row>
    <x:row r="55" ht="54" customHeight="1">
      <x:c r="A55" s="47" t="n">
        <x:v>46239</x:v>
      </x:c>
      <x:c r="B55" s="27" t="str">
        <x:v>quarta-feira</x:v>
      </x:c>
      <x:c r="C55" s="27" t="str">
        <x:v>Entrada e saída</x:v>
      </x:c>
      <x:c r="D55" s="27" t="str">
        <x:v>12:55 e 21:28</x:v>
      </x:c>
      <x:c r="E55" s="27" t="str">
        <x:v>Falha de comunicação entre o tablet do caixa e o sistema</x:v>
      </x:c>
      <x:c r="F55" s="27" t="str">
        <x:v>FICTÍCIO/SIMULADO — conferir os registros disponíveis e efetuar ajuste manual somente após validação</x:v>
      </x:c>
      <x:c r="G55" s="27" t="str">
        <x:v>Paulo Henrique Ribeiro (gerente — simulação)</x:v>
      </x:c>
      <x:c r="H55" s="27" t="str">
        <x:v>FICTÍCIO/SIMULADO</x:v>
      </x:c>
      <x:c r="I55" s="27" t="str">
        <x:v>Ocorrência fictícia para exercício; horários variados e aproximados, sem pretensão de reproduzir registro real.</x:v>
      </x:c>
    </x:row>
    <x:row r="56" ht="54" customHeight="1">
      <x:c r="A56" s="47" t="n">
        <x:v>46246</x:v>
      </x:c>
      <x:c r="B56" s="27" t="str">
        <x:v>quarta-feira</x:v>
      </x:c>
      <x:c r="C56" s="27" t="str">
        <x:v>Entrada</x:v>
      </x:c>
      <x:c r="D56" s="27" t="str">
        <x:v>13:01</x:v>
      </x:c>
      <x:c r="E56" s="27" t="str">
        <x:v>Instabilidade de conexão Wi-Fi no tablet do caixa</x:v>
      </x:c>
      <x:c r="F56" s="27" t="str">
        <x:v>FICTÍCIO/SIMULADO — conferir os registros disponíveis e efetuar ajuste manual somente após validação</x:v>
      </x:c>
      <x:c r="G56" s="27" t="str">
        <x:v>Paulo Henrique Ribeiro (gerente — simulação)</x:v>
      </x:c>
      <x:c r="H56" s="27" t="str">
        <x:v>FICTÍCIO/SIMULADO</x:v>
      </x:c>
      <x:c r="I56" s="27" t="str">
        <x:v>Ocorrência fictícia para exercício; horários variados e aproximados, sem pretensão de reproduzir registro real.</x:v>
      </x:c>
    </x:row>
    <x:row r="57" ht="54" customHeight="1">
      <x:c r="A57" s="47" t="n">
        <x:v>46258</x:v>
      </x:c>
      <x:c r="B57" s="27" t="str">
        <x:v>segunda-feira</x:v>
      </x:c>
      <x:c r="C57" s="27" t="str">
        <x:v>Saída</x:v>
      </x:c>
      <x:c r="D57" s="27" t="str">
        <x:v>21:26</x:v>
      </x:c>
      <x:c r="E57" s="27" t="str">
        <x:v>Ausência/intermitência de sinal no local de registro</x:v>
      </x:c>
      <x:c r="F57" s="27" t="str">
        <x:v>FICTÍCIO/SIMULADO — conferir os registros disponíveis e efetuar ajuste manual somente após validação</x:v>
      </x:c>
      <x:c r="G57" s="27" t="str">
        <x:v>Paulo Henrique Ribeiro (gerente — simulação)</x:v>
      </x:c>
      <x:c r="H57" s="27" t="str">
        <x:v>FICTÍCIO/SIMULADO</x:v>
      </x:c>
      <x:c r="I57" s="27" t="str">
        <x:v>Ocorrência fictícia para exercício; horários variados e aproximados, sem pretensão de reproduzir registro real.</x:v>
      </x:c>
    </x:row>
    <x:row r="58" ht="54" customHeight="1">
      <x:c r="A58" s="48"/>
      <x:c r="B58" s="37"/>
      <x:c r="C58" s="37"/>
      <x:c r="D58" s="37"/>
      <x:c r="E58" s="37"/>
      <x:c r="F58" s="37"/>
      <x:c r="G58" s="37"/>
      <x:c r="H58" s="37"/>
      <x:c r="I58" s="37"/>
    </x:row>
    <x:row r="59" ht="54" customHeight="1">
      <x:c r="A59" s="47"/>
      <x:c r="B59" s="27"/>
      <x:c r="C59" s="27"/>
      <x:c r="D59" s="27"/>
      <x:c r="E59" s="27"/>
      <x:c r="F59" s="27"/>
      <x:c r="G59" s="27"/>
      <x:c r="H59" s="27"/>
      <x:c r="I59" s="2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797d50760834c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7" hidden="0" customWidth="1"/>
    <x:col min="4" max="4" width="60" hidden="0" customWidth="1"/>
  </x:cols>
  <x:sheetData>
    <x:row r="1" ht="30" customHeight="1">
      <x:c r="A1" s="89" t="str">
        <x:v>DATA DA REVISÃO</x:v>
      </x:c>
      <x:c r="B1" s="89" t="str">
        <x:v>LOCAL</x:v>
      </x:c>
      <x:c r="C1" s="89" t="str">
        <x:v>MODIFICAÇÃO</x:v>
      </x:c>
      <x:c r="D1" s="89" t="str">
        <x:v>JUSTIFICATIVA / ORIGEM</x:v>
      </x:c>
    </x:row>
    <x:row r="2" ht="58" customHeight="1">
      <x:c r="A2" s="93" t="str">
        <x:v>22/10/2026</x:v>
      </x:c>
      <x:c r="B2" s="93" t="str">
        <x:v>Horas extras e saídas • 12/06/2026</x:v>
      </x:c>
      <x:c r="C2" s="93" t="str">
        <x:v>Incluído lançamento de 13h00 / 16h00–17h00 / 22h00. Trabalho efetivo 8h; excedente diário 00h40.</x:v>
      </x:c>
      <x:c r="D2" s="93" t="str">
        <x:v>Dados informados pelo usuário na conversa. Não substitui registros originais de ponto.</x:v>
      </x:c>
    </x:row>
    <x:row r="3" ht="58" customHeight="1">
      <x:c r="A3" s="93" t="str">
        <x:v>22/10/2026</x:v>
      </x:c>
      <x:c r="B3" s="93" t="str">
        <x:v>Falhas de ponto • 12/06/2026</x:v>
      </x:c>
      <x:c r="C3" s="93" t="str">
        <x:v>Excluída ocorrência simulada de falha de saída (21h22) da aba de falhas.</x:v>
      </x:c>
      <x:c r="D3" s="93" t="str">
        <x:v>Usuário informou que houve batida de saída às 22h00; ocorrência anterior era fictícia. Valor antigo preservado neste histórico.</x:v>
      </x:c>
    </x:row>
    <x:row r="4" ht="58" customHeight="1">
      <x:c r="A4" s="93" t="str">
        <x:v>22/10/2026</x:v>
      </x:c>
      <x:c r="B4" s="93" t="str">
        <x:v>Critério de cálculo no site</x:v>
      </x:c>
      <x:c r="C4" s="93" t="str">
        <x:v>Saldo diário calculado por total trabalhado menos jornada prevista, sem limitar à coluna Tempo além.</x:v>
      </x:c>
      <x:c r="D4" s="93" t="str">
        <x:v>Excedentes são automáticos mesmo quando existem ajustes locais; cada lançamento deve manter rastreabilidade.</x:v>
      </x:c>
    </x:row>
    <x:row r="5" ht="44" customHeight="1">
      <x:c r="A5" t="str">
        <x:v>22/10/2026</x:v>
      </x:c>
      <x:c r="B5" t="str">
        <x:v>Correção de ano do lançamento de 22h00</x:v>
      </x:c>
      <x:c r="C5" s="93" t="str">
        <x:v>Transferida a ocorrência de saída às 22h00 de 12/06/2026 para 12/06/2025 (quinta-feira).</x:v>
      </x:c>
      <x:c r="D5" s="93" t="str">
        <x:v>Solicitação expressa do usuário; apenas a data foi corrigida com preservação do histórico anterior.</x:v>
      </x:c>
    </x:row>
    <x:row r="6" ht="44" customHeight="1">
      <x:c r="A6" t="str">
        <x:v>22/10/2026</x:v>
      </x:c>
      <x:c r="B6" t="str">
        <x:v>12/06/2025 • jornada</x:v>
      </x:c>
      <x:c r="C6" s="93" t="str">
        <x:v>Entrada 13h00; intervalo 16h00–17h00; saída 22h00; 08h00 líquido; excedente 00h40.</x:v>
      </x:c>
      <x:c r="D6" s="93" t="str">
        <x:v>Anteriormente: 13h01, intervalo 16h25–17h28, saída 21h20. Conferência anterior: 21h04–21h16. Informação atual fornecida pelo usuário, requer comprovante original.</x:v>
      </x:c>
    </x:row>
    <x:row r="7" ht="44" customHeight="1">
      <x:c r="A7" t="str">
        <x:v>22/10/2026</x:v>
      </x:c>
      <x:c r="B7" t="str">
        <x:v>12/06/2026 • jornada</x:v>
      </x:c>
      <x:c r="C7" s="93" t="str">
        <x:v>Desfeita inclusão da jornada das 13h00 às 22h00 (V6).</x:v>
      </x:c>
      <x:c r="D7" s="93" t="str">
        <x:v>A data correta informada foi 12/06/2025; 12/06/2026 volta a ser dia sem marcação real conhecida no espelho.</x:v>
      </x:c>
    </x:row>
    <x:row r="8" ht="44" customHeight="1">
      <x:c r="A8" t="str">
        <x:v>22/10/2026</x:v>
      </x:c>
      <x:c r="B8" t="str">
        <x:v>12/06/2026 • falha</x:v>
      </x:c>
      <x:c r="C8" s="93" t="str">
        <x:v>Restaurada ocorrência fictícia anterior (saída prevista 21h22).</x:v>
      </x:c>
      <x:c r="D8" s="93" t="str">
        <x:v>Fonte V5. É ocorrência ilustrativa, não batida comprovada nem horas extras.</x:v>
      </x:c>
    </x:row>
    <x:row r="9" ht="44" customHeight="1">
      <x:c r="A9" t="str">
        <x:v>22/10/2026</x:v>
      </x:c>
      <x:c r="B9" t="str">
        <x:v>12/06/2025 • falha</x:v>
      </x:c>
      <x:c r="C9" s="93" t="str">
        <x:v>Retirada da lista ativa ocorrência fictícia anterior (saída prevista 21h42).</x:v>
      </x:c>
      <x:c r="D9" s="93" t="str">
        <x:v>Não corresponde à batida de 22h00 informada; registro histórico anterior preservado nesta aba.</x:v>
      </x:c>
    </x:row>
    <x:row r="10" ht="44" customHeight="1">
      <x:c r="A10" t="str">
        <x:v>22/10/2026</x:v>
      </x:c>
      <x:c r="B10" t="str">
        <x:v>Súmula 338, III • TST</x:v>
      </x:c>
      <x:c r="C10" s="93" t="str">
        <x:v>Não foram alterados horários para introduzir variações artificiais. Escalas projetadas ficam distintas dos registros; ajustes requerem motivo e trilha de auditoria.</x:v>
      </x:c>
      <x:c r="D10" s="93" t="str">
        <x:v>www.tst.jus.br e art. 74, § 2º, CLT. Material demonstrativo não é comprovante eletrônico homologado.</x:v>
      </x:c>
    </x:row>
    <x:row r="11">
      <x:c r="A11" t="str">
        <x:v>22/10/2026</x:v>
      </x:c>
      <x:c r="B11" t="str">
        <x:v>Falhas de ponto • 15/08/2026</x:v>
      </x:c>
      <x:c r="C11" t="str">
        <x:v>Retirada da lista ativa a ocorrência conflitante de saída 21h20. Mantida saída 16h56 (conferência de caixa 16h42–16h54), por orientação do usuário.</x:v>
      </x:c>
      <x:c r="D11" t="str">
        <x:v>Valor anterior: 21h20 no exemplo de falha Wi-Fi; não constitui comprovante.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49" hidden="0" customWidth="1"/>
    <x:col min="4" max="4" width="19" hidden="0" customWidth="1"/>
  </x:cols>
  <x:sheetData>
    <x:row r="1" ht="30" customHeight="1">
      <x:c r="A1" s="100" t="str">
        <x:v>CONTROLE DE JORNADA — INTEGRIDADE E ORIGEM</x:v>
      </x:c>
      <x:c r="B1" s="100" t="str"/>
      <x:c r="C1" s="100" t="str"/>
      <x:c r="D1" s="100" t="str"/>
    </x:row>
    <x:row r="2">
      <x:c r="A2" s="93" t="str">
        <x:v>Ponto britânico: entradas e saídas uniformes podem prejudicar o valor probatório. Não alterar horários para criar aparente variabilidade.</x:v>
      </x:c>
      <x:c r="B2" s="93" t="str"/>
      <x:c r="C2" s="93" t="str"/>
      <x:c r="D2" s="93" t="str"/>
    </x:row>
    <x:row r="3">
      <x:c r="A3" s="93"/>
      <x:c r="B3" s="93"/>
      <x:c r="C3" s="93"/>
      <x:c r="D3" s="93"/>
    </x:row>
    <x:row r="4" ht="24" customHeight="1">
      <x:c r="A4" s="103" t="str">
        <x:v>Critério</x:v>
      </x:c>
      <x:c r="B4" s="103" t="str">
        <x:v>Comportamento no site</x:v>
      </x:c>
      <x:c r="C4" s="103" t="str">
        <x:v>Fonte</x:v>
      </x:c>
      <x:c r="D4" s="103" t="str">
        <x:v>Status</x:v>
      </x:c>
    </x:row>
    <x:row r="5" ht="36" customHeight="1">
      <x:c r="A5" s="93" t="str">
        <x:v>Registro informado</x:v>
      </x:c>
      <x:c r="B5" s="93" t="str">
        <x:v>Preservar hora exata informada; não gerar variação aleatória</x:v>
      </x:c>
      <x:c r="C5" s="93" t="str">
        <x:v>Planilha revisada / ajuste com responsável</x:v>
      </x:c>
      <x:c r="D5" s="93" t="str">
        <x:v>Aplicado</x:v>
      </x:c>
    </x:row>
    <x:row r="6" ht="36" customHeight="1">
      <x:c r="A6" s="93" t="str">
        <x:v>Dia sem registro</x:v>
      </x:c>
      <x:c r="B6" s="93" t="str">
        <x:v>Exibir somente a escala prevista como planejamento, sem tratá-la como batida real</x:v>
      </x:c>
      <x:c r="C6" s="93" t="str">
        <x:v>Escala contratual</x:v>
      </x:c>
      <x:c r="D6" s="93" t="str">
        <x:v>Aplicado</x:v>
      </x:c>
    </x:row>
    <x:row r="7" ht="36" customHeight="1">
      <x:c r="A7" s="93" t="str">
        <x:v>Alterações de horários</x:v>
      </x:c>
      <x:c r="B7" s="93" t="str">
        <x:v>Exibir Ponto Ajustado em laranja e motivo; gravar alteração na auditoria</x:v>
      </x:c>
      <x:c r="C7" s="93" t="str">
        <x:v>Ajuste gerencial</x:v>
      </x:c>
      <x:c r="D7" s="93" t="str">
        <x:v>Aplicado</x:v>
      </x:c>
    </x:row>
    <x:row r="8" ht="36" customHeight="1">
      <x:c r="A8" s="93" t="str">
        <x:v>Data 12/06/2025</x:v>
      </x:c>
      <x:c r="B8" s="93" t="str">
        <x:v>Saída 22h00; 8h00 trabalhadas; 00h40 saldo positivo (pendente de comprovante)</x:v>
      </x:c>
      <x:c r="C8" s="93" t="str">
        <x:v>Informação do usuário</x:v>
      </x:c>
      <x:c r="D8" s="93" t="str">
        <x:v>Retificado</x:v>
      </x:c>
    </x:row>
    <x:row r="9" ht="36" customHeight="1">
      <x:c r="A9" s="93" t="str">
        <x:v>Data 12/06/2026</x:v>
      </x:c>
      <x:c r="B9" s="93" t="str">
        <x:v>Desfeita jornada das 22h00 lançada por engano</x:v>
      </x:c>
      <x:c r="C9" s="93" t="str">
        <x:v>Correção do usuário</x:v>
      </x:c>
      <x:c r="D9" s="93" t="str">
        <x:v>Restaurado</x:v>
      </x:c>
    </x:row>
    <x:row r="10" ht="36" customHeight="1">
      <x:c r="A10" s="93" t="str">
        <x:v>15/08/2026</x:v>
      </x:c>
      <x:c r="B10" s="93" t="str">
        <x:v>Referência conflitante 21h20 retirada da lista ativa; saída 16h56 mantida</x:v>
      </x:c>
      <x:c r="C10" s="93" t="str">
        <x:v>Histórico das alterações — revisão em 22/10/2026</x:v>
      </x:c>
      <x:c r="D10" s="93" t="str">
        <x:v>Retificada na simulação</x:v>
      </x:c>
    </x:row>
    <x:row r="11" ht="36" customHeight="1">
      <x:c r="A11" s="93" t="str">
        <x:v>Referência legal</x:v>
      </x:c>
      <x:c r="B11" s="93" t="str">
        <x:v>Súmula 338, III, TST e art. 74, § 2º, CLT</x:v>
      </x:c>
      <x:c r="C11" s="93" t="str">
        <x:v>https://www.tst.jus.br/ | https://www.planalto.gov.br/</x:v>
      </x:c>
      <x:c r="D11" s="93" t="str">
        <x:v>Orientação</x:v>
      </x:c>
    </x:row>
    <x:row r="12" ht="36" customHeight="1">
      <x:c r="A12" s="93" t="str">
        <x:v>Integridade de origem</x:v>
      </x:c>
      <x:c r="B12" s="93" t="str">
        <x:v>Este arquivo contém exemplos/simulações; não é comprovante de ponto real</x:v>
      </x:c>
      <x:c r="C12" s="93" t="str">
        <x:v>Histórico e planilhas anteriores</x:v>
      </x:c>
      <x:c r="D12" s="93" t="str">
        <x:v>Informativo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16" max="16" width="46" hidden="0" customWidth="1"/>
    <x:col min="17" max="17" width="74" hidden="0" customWidth="1"/>
    <x:col min="18" max="18" width="1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2" customHeight="1">
      <x:c r="A1" s="105" t="str">
        <x:v>MARINA • ESPELHO COMPLETO DA SIMULAÇÃO | 03/2025–08/2026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</x:row>
    <x:row r="2" ht="38" customHeight="1">
      <x:c r="A2" s="108" t="str">
        <x:v>ATENÇÃO: 425 datas possuem saída transcrita da conferência e entrada/intervalo COMPLETADOS ILUSTRATIVAMENTE. Não são batidas reais nem comprovantes de jornada. As 44 jornadas individualizadas foram preservadas.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  <x:c r="L2" s="108"/>
      <x:c r="M2" s="108"/>
      <x:c r="N2" s="108"/>
      <x:c r="O2" s="108"/>
      <x:c r="P2" s="108"/>
      <x:c r="Q2" s="108"/>
      <x:c r="R2" s="108"/>
    </x:row>
    <x:row r="3" ht="33" customHeight="1">
      <x:c r="A3" s="111" t="str">
        <x:v>Cálculo automático: horas efetivas = saída − entrada − intervalo. Saldo diário = trabalhado − previsto. Horas extras positivas e negativas são separadas; domingos/DSR não entram como dias trabalhados.</x:v>
      </x:c>
      <x:c r="B3" s="111"/>
      <x:c r="C3" s="111"/>
      <x:c r="D3" s="111"/>
      <x:c r="E3" s="111"/>
      <x:c r="F3" s="111"/>
      <x:c r="G3" s="111"/>
      <x:c r="H3" s="111"/>
      <x:c r="I3" s="111"/>
      <x:c r="J3" s="111"/>
      <x:c r="K3" s="111"/>
      <x:c r="L3" s="111"/>
      <x:c r="M3" s="111"/>
      <x:c r="N3" s="111"/>
      <x:c r="O3" s="111"/>
      <x:c r="P3" s="111"/>
      <x:c r="Q3" s="111"/>
      <x:c r="R3" s="111"/>
    </x:row>
    <x:row r="4" ht="30" customHeight="1">
      <x:c r="A4" s="113" t="str">
        <x:v>Data</x:v>
      </x:c>
      <x:c r="B4" s="113" t="str">
        <x:v>Dia</x:v>
      </x:c>
      <x:c r="C4" s="113" t="str">
        <x:v>Entrada</x:v>
      </x:c>
      <x:c r="D4" s="113" t="str">
        <x:v>Início Int.</x:v>
      </x:c>
      <x:c r="E4" s="113" t="str">
        <x:v>Fim Int.</x:v>
      </x:c>
      <x:c r="F4" s="113" t="str">
        <x:v>Saída</x:v>
      </x:c>
      <x:c r="G4" s="113" t="str">
        <x:v>Total Trab.</x:v>
      </x:c>
      <x:c r="H4" s="113" t="str">
        <x:v>Jornada prevista</x:v>
      </x:c>
      <x:c r="I4" s="113" t="str">
        <x:v>Saldo (Extra)</x:v>
      </x:c>
      <x:c r="J4" s="113" t="str">
        <x:v>Atrasos</x:v>
      </x:c>
      <x:c r="K4" s="113" t="str">
        <x:v>Trabalhado (min)</x:v>
      </x:c>
      <x:c r="L4" s="113" t="str">
        <x:v>Previsto (min)</x:v>
      </x:c>
      <x:c r="M4" s="113" t="str">
        <x:v>Saldo (min)</x:v>
      </x:c>
      <x:c r="N4" s="113" t="str">
        <x:v>Extras (min)</x:v>
      </x:c>
      <x:c r="O4" s="113" t="str">
        <x:v>Negativo (min)</x:v>
      </x:c>
      <x:c r="P4" s="113" t="str">
        <x:v>Ocorrência / Status</x:v>
      </x:c>
      <x:c r="Q4" s="113" t="str">
        <x:v>Origem dos horários</x:v>
      </x:c>
      <x:c r="R4" s="113" t="str">
        <x:v>Competência</x:v>
      </x:c>
    </x:row>
    <x:row r="5" ht="21" customHeight="1">
      <x:c r="A5" s="83" t="n">
        <x:v>45719</x:v>
      </x:c>
      <x:c r="B5" t="str">
        <x:v>segunda-feira</x:v>
      </x:c>
      <x:c r="C5" s="85" t="n">
        <x:v>0.5395833333333333</x:v>
      </x:c>
      <x:c r="D5" s="85" t="n">
        <x:v>0.6673611111111111</x:v>
      </x:c>
      <x:c r="E5" s="85" t="n">
        <x:v>0.7104166666666667</x:v>
      </x:c>
      <x:c r="F5" s="85" t="n">
        <x:v>0.8895833333333333</x:v>
      </x:c>
      <x:c r="G5" t="str">
        <x:f>TEXT(INT(K5/60),"00")&amp;":"&amp;TEXT(MOD(K5,60),"00")</x:f>
        <x:v>07:22</x:v>
      </x:c>
      <x:c r="H5" t="str">
        <x:f>TEXT(INT(L5/60),"00")&amp;":"&amp;TEXT(MOD(L5,60),"00")</x:f>
        <x:v>07:20</x:v>
      </x:c>
      <x:c r="I5" t="str">
        <x:f>IF(N5&gt;0,"+"&amp;TEXT(INT(N5/60),"00")&amp;":"&amp;TEXT(MOD(N5,60),"00"),"00:00")</x:f>
        <x:v>+00:02</x:v>
      </x:c>
      <x:c r="J5" t="str">
        <x:f>IF(O5&gt;0,"-"&amp;TEXT(INT(O5/60),"00")&amp;":"&amp;TEXT(MOD(O5,60),"00"),"00:00")</x:f>
        <x:v>00:00</x:v>
      </x:c>
      <x:c r="K5" t="n">
        <x:f>ROUND((F5-C5-IF(OR(D5="",E5=""),0,E5-D5))*1440,0)</x:f>
        <x:v>442</x:v>
      </x:c>
      <x:c r="L5" t="n">
        <x:v>440</x:v>
      </x:c>
      <x:c r="M5" t="n">
        <x:f>K5-L5</x:f>
        <x:v>2</x:v>
      </x:c>
      <x:c r="N5" t="n">
        <x:f>MAX(0,M5)</x:f>
        <x:v>2</x:v>
      </x:c>
      <x:c r="O5" t="n">
        <x:f>MAX(0,-M5)</x:f>
        <x:v>0</x:v>
      </x:c>
      <x:c r="P5" t="str">
        <x:v>Ponto registrado — complemento ilustrativo</x:v>
      </x:c>
      <x:c r="Q5" t="str">
        <x:v>Saída da CONFERÊNCIA DE CAIXA; entrada/intervalo simulados</x:v>
      </x:c>
      <x:c r="R5" t="str">
        <x:v>2025-03</x:v>
      </x:c>
    </x:row>
    <x:row r="6" ht="21" customHeight="1">
      <x:c r="A6" s="83" t="n">
        <x:v>45720</x:v>
      </x:c>
      <x:c r="B6" t="str">
        <x:v>terça-feira</x:v>
      </x:c>
      <x:c r="C6" s="85" t="n">
        <x:v>0.5458333333333333</x:v>
      </x:c>
      <x:c r="D6" s="85" t="n">
        <x:v>0.6722222222222223</x:v>
      </x:c>
      <x:c r="E6" s="85" t="n">
        <x:v>0.7138888888888889</x:v>
      </x:c>
      <x:c r="F6" s="85" t="n">
        <x:v>0.8791666666666667</x:v>
      </x:c>
      <x:c r="G6" t="str">
        <x:f>TEXT(INT(K6/60),"00")&amp;":"&amp;TEXT(MOD(K6,60),"00")</x:f>
        <x:v>07:00</x:v>
      </x:c>
      <x:c r="H6" t="str">
        <x:f>TEXT(INT(L6/60),"00")&amp;":"&amp;TEXT(MOD(L6,60),"00")</x:f>
        <x:v>07:20</x:v>
      </x:c>
      <x:c r="I6" t="str">
        <x:f>IF(N6&gt;0,"+"&amp;TEXT(INT(N6/60),"00")&amp;":"&amp;TEXT(MOD(N6,60),"00"),"00:00")</x:f>
        <x:v>00:00</x:v>
      </x:c>
      <x:c r="J6" t="str">
        <x:f>IF(O6&gt;0,"-"&amp;TEXT(INT(O6/60),"00")&amp;":"&amp;TEXT(MOD(O6,60),"00"),"00:00")</x:f>
        <x:v>-00:20</x:v>
      </x:c>
      <x:c r="K6" t="n">
        <x:f>ROUND((F6-C6-IF(OR(D6="",E6=""),0,E6-D6))*1440,0)</x:f>
        <x:v>420</x:v>
      </x:c>
      <x:c r="L6" t="n">
        <x:v>440</x:v>
      </x:c>
      <x:c r="M6" t="n">
        <x:f>K6-L6</x:f>
        <x:v>-20</x:v>
      </x:c>
      <x:c r="N6" t="n">
        <x:f>MAX(0,M6)</x:f>
        <x:v>0</x:v>
      </x:c>
      <x:c r="O6" t="n">
        <x:f>MAX(0,-M6)</x:f>
        <x:v>20</x:v>
      </x:c>
      <x:c r="P6" t="str">
        <x:v>Ponto registrado — complemento ilustrativo</x:v>
      </x:c>
      <x:c r="Q6" t="str">
        <x:v>Saída da CONFERÊNCIA DE CAIXA; entrada/intervalo simulados</x:v>
      </x:c>
      <x:c r="R6" t="str">
        <x:v>2025-03</x:v>
      </x:c>
    </x:row>
    <x:row r="7" ht="21" customHeight="1">
      <x:c r="A7" s="83" t="n">
        <x:v>45721</x:v>
      </x:c>
      <x:c r="B7" t="str">
        <x:v>quarta-feira</x:v>
      </x:c>
      <x:c r="C7" s="85" t="n">
        <x:v>0.5381944444444444</x:v>
      </x:c>
      <x:c r="D7" s="85" t="n">
        <x:v>0.66875</x:v>
      </x:c>
      <x:c r="E7" s="85" t="n">
        <x:v>0.7083333333333334</x:v>
      </x:c>
      <x:c r="F7" s="85" t="n">
        <x:v>0.8833333333333333</x:v>
      </x:c>
      <x:c r="G7" t="str">
        <x:f>TEXT(INT(K7/60),"00")&amp;":"&amp;TEXT(MOD(K7,60),"00")</x:f>
        <x:v>07:20</x:v>
      </x:c>
      <x:c r="H7" t="str">
        <x:f>TEXT(INT(L7/60),"00")&amp;":"&amp;TEXT(MOD(L7,60),"00")</x:f>
        <x:v>07:20</x:v>
      </x:c>
      <x:c r="I7" t="str">
        <x:f>IF(N7&gt;0,"+"&amp;TEXT(INT(N7/60),"00")&amp;":"&amp;TEXT(MOD(N7,60),"00"),"00:00")</x:f>
        <x:v>00:00</x:v>
      </x:c>
      <x:c r="J7" t="str">
        <x:f>IF(O7&gt;0,"-"&amp;TEXT(INT(O7/60),"00")&amp;":"&amp;TEXT(MOD(O7,60),"00"),"00:00")</x:f>
        <x:v>00:00</x:v>
      </x:c>
      <x:c r="K7" t="n">
        <x:f>ROUND((F7-C7-IF(OR(D7="",E7=""),0,E7-D7))*1440,0)</x:f>
        <x:v>440</x:v>
      </x:c>
      <x:c r="L7" t="n">
        <x:v>440</x:v>
      </x:c>
      <x:c r="M7" t="n">
        <x:f>K7-L7</x:f>
        <x:v>0</x:v>
      </x:c>
      <x:c r="N7" t="n">
        <x:f>MAX(0,M7)</x:f>
        <x:v>0</x:v>
      </x:c>
      <x:c r="O7" t="n">
        <x:f>MAX(0,-M7)</x:f>
        <x:v>0</x:v>
      </x:c>
      <x:c r="P7" t="str">
        <x:v>Ponto registrado — complemento ilustrativo</x:v>
      </x:c>
      <x:c r="Q7" t="str">
        <x:v>Saída da CONFERÊNCIA DE CAIXA; entrada/intervalo simulados</x:v>
      </x:c>
      <x:c r="R7" t="str">
        <x:v>2025-03</x:v>
      </x:c>
    </x:row>
    <x:row r="8" ht="21" customHeight="1">
      <x:c r="A8" s="83" t="n">
        <x:v>45722</x:v>
      </x:c>
      <x:c r="B8" t="str">
        <x:v>quinta-feira</x:v>
      </x:c>
      <x:c r="C8" s="85" t="n">
        <x:v>0.5451388888888888</x:v>
      </x:c>
      <x:c r="D8" s="85" t="n">
        <x:v>0.6777777777777778</x:v>
      </x:c>
      <x:c r="E8" s="85" t="n">
        <x:v>0.7180555555555556</x:v>
      </x:c>
      <x:c r="F8" s="85" t="n">
        <x:v>0.8895833333333333</x:v>
      </x:c>
      <x:c r="G8" t="str">
        <x:f>TEXT(INT(K8/60),"00")&amp;":"&amp;TEXT(MOD(K8,60),"00")</x:f>
        <x:v>07:18</x:v>
      </x:c>
      <x:c r="H8" t="str">
        <x:f>TEXT(INT(L8/60),"00")&amp;":"&amp;TEXT(MOD(L8,60),"00")</x:f>
        <x:v>07:20</x:v>
      </x:c>
      <x:c r="I8" t="str">
        <x:f>IF(N8&gt;0,"+"&amp;TEXT(INT(N8/60),"00")&amp;":"&amp;TEXT(MOD(N8,60),"00"),"00:00")</x:f>
        <x:v>00:00</x:v>
      </x:c>
      <x:c r="J8" t="str">
        <x:f>IF(O8&gt;0,"-"&amp;TEXT(INT(O8/60),"00")&amp;":"&amp;TEXT(MOD(O8,60),"00"),"00:00")</x:f>
        <x:v>-00:02</x:v>
      </x:c>
      <x:c r="K8" t="n">
        <x:f>ROUND((F8-C8-IF(OR(D8="",E8=""),0,E8-D8))*1440,0)</x:f>
        <x:v>438</x:v>
      </x:c>
      <x:c r="L8" t="n">
        <x:v>440</x:v>
      </x:c>
      <x:c r="M8" t="n">
        <x:f>K8-L8</x:f>
        <x:v>-2</x:v>
      </x:c>
      <x:c r="N8" t="n">
        <x:f>MAX(0,M8)</x:f>
        <x:v>0</x:v>
      </x:c>
      <x:c r="O8" t="n">
        <x:f>MAX(0,-M8)</x:f>
        <x:v>2</x:v>
      </x:c>
      <x:c r="P8" t="str">
        <x:v>Ponto registrado — complemento ilustrativo</x:v>
      </x:c>
      <x:c r="Q8" t="str">
        <x:v>Saída da CONFERÊNCIA DE CAIXA; entrada/intervalo simulados</x:v>
      </x:c>
      <x:c r="R8" t="str">
        <x:v>2025-03</x:v>
      </x:c>
    </x:row>
    <x:row r="9" ht="21" customHeight="1">
      <x:c r="A9" s="83" t="n">
        <x:v>45723</x:v>
      </x:c>
      <x:c r="B9" t="str">
        <x:v>sexta-feira</x:v>
      </x:c>
      <x:c r="C9" s="85" t="n">
        <x:v>0.5409722222222222</x:v>
      </x:c>
      <x:c r="D9" s="85" t="n">
        <x:v>0.6756944444444445</x:v>
      </x:c>
      <x:c r="E9" s="85" t="n">
        <x:v>0.7173611111111111</x:v>
      </x:c>
      <x:c r="F9" s="85" t="n">
        <x:v>0.8909722222222223</x:v>
      </x:c>
      <x:c r="G9" t="str">
        <x:f>TEXT(INT(K9/60),"00")&amp;":"&amp;TEXT(MOD(K9,60),"00")</x:f>
        <x:v>07:24</x:v>
      </x:c>
      <x:c r="H9" t="str">
        <x:f>TEXT(INT(L9/60),"00")&amp;":"&amp;TEXT(MOD(L9,60),"00")</x:f>
        <x:v>07:20</x:v>
      </x:c>
      <x:c r="I9" t="str">
        <x:f>IF(N9&gt;0,"+"&amp;TEXT(INT(N9/60),"00")&amp;":"&amp;TEXT(MOD(N9,60),"00"),"00:00")</x:f>
        <x:v>+00:04</x:v>
      </x:c>
      <x:c r="J9" t="str">
        <x:f>IF(O9&gt;0,"-"&amp;TEXT(INT(O9/60),"00")&amp;":"&amp;TEXT(MOD(O9,60),"00"),"00:00")</x:f>
        <x:v>00:00</x:v>
      </x:c>
      <x:c r="K9" t="n">
        <x:f>ROUND((F9-C9-IF(OR(D9="",E9=""),0,E9-D9))*1440,0)</x:f>
        <x:v>444</x:v>
      </x:c>
      <x:c r="L9" t="n">
        <x:v>440</x:v>
      </x:c>
      <x:c r="M9" t="n">
        <x:f>K9-L9</x:f>
        <x:v>4</x:v>
      </x:c>
      <x:c r="N9" t="n">
        <x:f>MAX(0,M9)</x:f>
        <x:v>4</x:v>
      </x:c>
      <x:c r="O9" t="n">
        <x:f>MAX(0,-M9)</x:f>
        <x:v>0</x:v>
      </x:c>
      <x:c r="P9" t="str">
        <x:v>Ponto registrado — complemento ilustrativo</x:v>
      </x:c>
      <x:c r="Q9" t="str">
        <x:v>Saída da CONFERÊNCIA DE CAIXA; entrada/intervalo simulados</x:v>
      </x:c>
      <x:c r="R9" t="str">
        <x:v>2025-03</x:v>
      </x:c>
    </x:row>
    <x:row r="10" ht="21" customHeight="1">
      <x:c r="A10" s="83" t="n">
        <x:v>45724</x:v>
      </x:c>
      <x:c r="B10" t="str">
        <x:v>sábado</x:v>
      </x:c>
      <x:c r="C10" s="85" t="n">
        <x:v>0.5423611111111111</x:v>
      </x:c>
      <x:c r="D10" s="85"/>
      <x:c r="E10" s="85"/>
      <x:c r="F10" s="85" t="n">
        <x:v>0.7048611111111112</x:v>
      </x:c>
      <x:c r="G10" t="str">
        <x:f>TEXT(INT(K10/60),"00")&amp;":"&amp;TEXT(MOD(K10,60),"00")</x:f>
        <x:v>03:54</x:v>
      </x:c>
      <x:c r="H10" t="str">
        <x:f>TEXT(INT(L10/60),"00")&amp;":"&amp;TEXT(MOD(L10,60),"00")</x:f>
        <x:v>04:00</x:v>
      </x:c>
      <x:c r="I10" t="str">
        <x:f>IF(N10&gt;0,"+"&amp;TEXT(INT(N10/60),"00")&amp;":"&amp;TEXT(MOD(N10,60),"00"),"00:00")</x:f>
        <x:v>00:00</x:v>
      </x:c>
      <x:c r="J10" t="str">
        <x:f>IF(O10&gt;0,"-"&amp;TEXT(INT(O10/60),"00")&amp;":"&amp;TEXT(MOD(O10,60),"00"),"00:00")</x:f>
        <x:v>-00:06</x:v>
      </x:c>
      <x:c r="K10" t="n">
        <x:f>ROUND((F10-C10-IF(OR(D10="",E10=""),0,E10-D10))*1440,0)</x:f>
        <x:v>234</x:v>
      </x:c>
      <x:c r="L10" t="n">
        <x:v>240</x:v>
      </x:c>
      <x:c r="M10" t="n">
        <x:f>K10-L10</x:f>
        <x:v>-6</x:v>
      </x:c>
      <x:c r="N10" t="n">
        <x:f>MAX(0,M10)</x:f>
        <x:v>0</x:v>
      </x:c>
      <x:c r="O10" t="n">
        <x:f>MAX(0,-M10)</x:f>
        <x:v>6</x:v>
      </x:c>
      <x:c r="P10" t="str">
        <x:v>Ponto registrado — complemento ilustrativo</x:v>
      </x:c>
      <x:c r="Q10" t="str">
        <x:v>Saída da CONFERÊNCIA DE CAIXA; entrada/intervalo simulados</x:v>
      </x:c>
      <x:c r="R10" t="str">
        <x:v>2025-03</x:v>
      </x:c>
    </x:row>
    <x:row r="11" ht="21" customHeight="1">
      <x:c r="A11" s="83" t="n">
        <x:v>45726</x:v>
      </x:c>
      <x:c r="B11" t="str">
        <x:v>segunda-feira</x:v>
      </x:c>
      <x:c r="C11" s="85" t="n">
        <x:v>0.5444444444444444</x:v>
      </x:c>
      <x:c r="D11" s="85" t="n">
        <x:v>0.6715277777777777</x:v>
      </x:c>
      <x:c r="E11" s="85" t="n">
        <x:v>0.7104166666666667</x:v>
      </x:c>
      <x:c r="F11" s="85" t="n">
        <x:v>0.8895833333333333</x:v>
      </x:c>
      <x:c r="G11" t="str">
        <x:f>TEXT(INT(K11/60),"00")&amp;":"&amp;TEXT(MOD(K11,60),"00")</x:f>
        <x:v>07:21</x:v>
      </x:c>
      <x:c r="H11" t="str">
        <x:f>TEXT(INT(L11/60),"00")&amp;":"&amp;TEXT(MOD(L11,60),"00")</x:f>
        <x:v>07:20</x:v>
      </x:c>
      <x:c r="I11" t="str">
        <x:f>IF(N11&gt;0,"+"&amp;TEXT(INT(N11/60),"00")&amp;":"&amp;TEXT(MOD(N11,60),"00"),"00:00")</x:f>
        <x:v>+00:01</x:v>
      </x:c>
      <x:c r="J11" t="str">
        <x:f>IF(O11&gt;0,"-"&amp;TEXT(INT(O11/60),"00")&amp;":"&amp;TEXT(MOD(O11,60),"00"),"00:00")</x:f>
        <x:v>00:00</x:v>
      </x:c>
      <x:c r="K11" t="n">
        <x:f>ROUND((F11-C11-IF(OR(D11="",E11=""),0,E11-D11))*1440,0)</x:f>
        <x:v>441</x:v>
      </x:c>
      <x:c r="L11" t="n">
        <x:v>440</x:v>
      </x:c>
      <x:c r="M11" t="n">
        <x:f>K11-L11</x:f>
        <x:v>1</x:v>
      </x:c>
      <x:c r="N11" t="n">
        <x:f>MAX(0,M11)</x:f>
        <x:v>1</x:v>
      </x:c>
      <x:c r="O11" t="n">
        <x:f>MAX(0,-M11)</x:f>
        <x:v>0</x:v>
      </x:c>
      <x:c r="P11" t="str">
        <x:v>Ponto registrado — complemento ilustrativo</x:v>
      </x:c>
      <x:c r="Q11" t="str">
        <x:v>Saída da CONFERÊNCIA DE CAIXA; entrada/intervalo simulados</x:v>
      </x:c>
      <x:c r="R11" t="str">
        <x:v>2025-03</x:v>
      </x:c>
    </x:row>
    <x:row r="12" ht="21" customHeight="1">
      <x:c r="A12" s="83" t="n">
        <x:v>45727</x:v>
      </x:c>
      <x:c r="B12" t="str">
        <x:v>terça-feira</x:v>
      </x:c>
      <x:c r="C12" s="85" t="n">
        <x:v>0.5381944444444444</x:v>
      </x:c>
      <x:c r="D12" s="85" t="n">
        <x:v>0.6722222222222223</x:v>
      </x:c>
      <x:c r="E12" s="85" t="n">
        <x:v>0.7138888888888889</x:v>
      </x:c>
      <x:c r="F12" s="85" t="n">
        <x:v>0.8895833333333333</x:v>
      </x:c>
      <x:c r="G12" t="str">
        <x:f>TEXT(INT(K12/60),"00")&amp;":"&amp;TEXT(MOD(K12,60),"00")</x:f>
        <x:v>07:26</x:v>
      </x:c>
      <x:c r="H12" t="str">
        <x:f>TEXT(INT(L12/60),"00")&amp;":"&amp;TEXT(MOD(L12,60),"00")</x:f>
        <x:v>07:20</x:v>
      </x:c>
      <x:c r="I12" t="str">
        <x:f>IF(N12&gt;0,"+"&amp;TEXT(INT(N12/60),"00")&amp;":"&amp;TEXT(MOD(N12,60),"00"),"00:00")</x:f>
        <x:v>+00:06</x:v>
      </x:c>
      <x:c r="J12" t="str">
        <x:f>IF(O12&gt;0,"-"&amp;TEXT(INT(O12/60),"00")&amp;":"&amp;TEXT(MOD(O12,60),"00"),"00:00")</x:f>
        <x:v>00:00</x:v>
      </x:c>
      <x:c r="K12" t="n">
        <x:f>ROUND((F12-C12-IF(OR(D12="",E12=""),0,E12-D12))*1440,0)</x:f>
        <x:v>446</x:v>
      </x:c>
      <x:c r="L12" t="n">
        <x:v>440</x:v>
      </x:c>
      <x:c r="M12" t="n">
        <x:f>K12-L12</x:f>
        <x:v>6</x:v>
      </x:c>
      <x:c r="N12" t="n">
        <x:f>MAX(0,M12)</x:f>
        <x:v>6</x:v>
      </x:c>
      <x:c r="O12" t="n">
        <x:f>MAX(0,-M12)</x:f>
        <x:v>0</x:v>
      </x:c>
      <x:c r="P12" t="str">
        <x:v>Ponto registrado — complemento ilustrativo</x:v>
      </x:c>
      <x:c r="Q12" t="str">
        <x:v>Saída da CONFERÊNCIA DE CAIXA; entrada/intervalo simulados</x:v>
      </x:c>
      <x:c r="R12" t="str">
        <x:v>2025-03</x:v>
      </x:c>
    </x:row>
    <x:row r="13" ht="21" customHeight="1">
      <x:c r="A13" s="83" t="n">
        <x:v>45728</x:v>
      </x:c>
      <x:c r="B13" t="str">
        <x:v>quarta-feira</x:v>
      </x:c>
      <x:c r="C13" s="85" t="n">
        <x:v>0.54375</x:v>
      </x:c>
      <x:c r="D13" s="85" t="n">
        <x:v>0.6715277777777777</x:v>
      </x:c>
      <x:c r="E13" s="85" t="n">
        <x:v>0.7104166666666667</x:v>
      </x:c>
      <x:c r="F13" s="85" t="n">
        <x:v>0.8861111111111111</x:v>
      </x:c>
      <x:c r="G13" t="str">
        <x:f>TEXT(INT(K13/60),"00")&amp;":"&amp;TEXT(MOD(K13,60),"00")</x:f>
        <x:v>07:17</x:v>
      </x:c>
      <x:c r="H13" t="str">
        <x:f>TEXT(INT(L13/60),"00")&amp;":"&amp;TEXT(MOD(L13,60),"00")</x:f>
        <x:v>07:20</x:v>
      </x:c>
      <x:c r="I13" t="str">
        <x:f>IF(N13&gt;0,"+"&amp;TEXT(INT(N13/60),"00")&amp;":"&amp;TEXT(MOD(N13,60),"00"),"00:00")</x:f>
        <x:v>00:00</x:v>
      </x:c>
      <x:c r="J13" t="str">
        <x:f>IF(O13&gt;0,"-"&amp;TEXT(INT(O13/60),"00")&amp;":"&amp;TEXT(MOD(O13,60),"00"),"00:00")</x:f>
        <x:v>-00:03</x:v>
      </x:c>
      <x:c r="K13" t="n">
        <x:f>ROUND((F13-C13-IF(OR(D13="",E13=""),0,E13-D13))*1440,0)</x:f>
        <x:v>437</x:v>
      </x:c>
      <x:c r="L13" t="n">
        <x:v>440</x:v>
      </x:c>
      <x:c r="M13" t="n">
        <x:f>K13-L13</x:f>
        <x:v>-3</x:v>
      </x:c>
      <x:c r="N13" t="n">
        <x:f>MAX(0,M13)</x:f>
        <x:v>0</x:v>
      </x:c>
      <x:c r="O13" t="n">
        <x:f>MAX(0,-M13)</x:f>
        <x:v>3</x:v>
      </x:c>
      <x:c r="P13" t="str">
        <x:v>Ponto registrado — complemento ilustrativo</x:v>
      </x:c>
      <x:c r="Q13" t="str">
        <x:v>Saída da CONFERÊNCIA DE CAIXA; entrada/intervalo simulados</x:v>
      </x:c>
      <x:c r="R13" t="str">
        <x:v>2025-03</x:v>
      </x:c>
    </x:row>
    <x:row r="14" ht="21" customHeight="1">
      <x:c r="A14" s="83" t="n">
        <x:v>45729</x:v>
      </x:c>
      <x:c r="B14" t="str">
        <x:v>quinta-feira</x:v>
      </x:c>
      <x:c r="C14" s="85" t="n">
        <x:v>0.5395833333333333</x:v>
      </x:c>
      <x:c r="D14" s="85" t="n">
        <x:v>0.6840277777777778</x:v>
      </x:c>
      <x:c r="E14" s="85" t="n">
        <x:v>0.7256944444444444</x:v>
      </x:c>
      <x:c r="F14" s="85" t="n">
        <x:v>0.8875</x:v>
      </x:c>
      <x:c r="G14" t="str">
        <x:f>TEXT(INT(K14/60),"00")&amp;":"&amp;TEXT(MOD(K14,60),"00")</x:f>
        <x:v>07:21</x:v>
      </x:c>
      <x:c r="H14" t="str">
        <x:f>TEXT(INT(L14/60),"00")&amp;":"&amp;TEXT(MOD(L14,60),"00")</x:f>
        <x:v>07:20</x:v>
      </x:c>
      <x:c r="I14" t="str">
        <x:f>IF(N14&gt;0,"+"&amp;TEXT(INT(N14/60),"00")&amp;":"&amp;TEXT(MOD(N14,60),"00"),"00:00")</x:f>
        <x:v>+00:01</x:v>
      </x:c>
      <x:c r="J14" t="str">
        <x:f>IF(O14&gt;0,"-"&amp;TEXT(INT(O14/60),"00")&amp;":"&amp;TEXT(MOD(O14,60),"00"),"00:00")</x:f>
        <x:v>00:00</x:v>
      </x:c>
      <x:c r="K14" t="n">
        <x:f>ROUND((F14-C14-IF(OR(D14="",E14=""),0,E14-D14))*1440,0)</x:f>
        <x:v>441</x:v>
      </x:c>
      <x:c r="L14" t="n">
        <x:v>440</x:v>
      </x:c>
      <x:c r="M14" t="n">
        <x:f>K14-L14</x:f>
        <x:v>1</x:v>
      </x:c>
      <x:c r="N14" t="n">
        <x:f>MAX(0,M14)</x:f>
        <x:v>1</x:v>
      </x:c>
      <x:c r="O14" t="n">
        <x:f>MAX(0,-M14)</x:f>
        <x:v>0</x:v>
      </x:c>
      <x:c r="P14" t="str">
        <x:v>Ponto registrado — jornada revisada</x:v>
      </x:c>
      <x:c r="Q14" t="str">
        <x:v>Horários da planilha de jornadas revisada</x:v>
      </x:c>
      <x:c r="R14" t="str">
        <x:v>2025-03</x:v>
      </x:c>
    </x:row>
    <x:row r="15" ht="21" customHeight="1">
      <x:c r="A15" s="83" t="n">
        <x:v>45730</x:v>
      </x:c>
      <x:c r="B15" t="str">
        <x:v>sexta-feira</x:v>
      </x:c>
      <x:c r="C15" s="85" t="n">
        <x:v>0.5375</x:v>
      </x:c>
      <x:c r="D15" s="85" t="n">
        <x:v>0.6715277777777777</x:v>
      </x:c>
      <x:c r="E15" s="85" t="n">
        <x:v>0.7131944444444445</x:v>
      </x:c>
      <x:c r="F15" s="85" t="n">
        <x:v>0.8895833333333333</x:v>
      </x:c>
      <x:c r="G15" t="str">
        <x:f>TEXT(INT(K15/60),"00")&amp;":"&amp;TEXT(MOD(K15,60),"00")</x:f>
        <x:v>07:27</x:v>
      </x:c>
      <x:c r="H15" t="str">
        <x:f>TEXT(INT(L15/60),"00")&amp;":"&amp;TEXT(MOD(L15,60),"00")</x:f>
        <x:v>07:20</x:v>
      </x:c>
      <x:c r="I15" t="str">
        <x:f>IF(N15&gt;0,"+"&amp;TEXT(INT(N15/60),"00")&amp;":"&amp;TEXT(MOD(N15,60),"00"),"00:00")</x:f>
        <x:v>+00:07</x:v>
      </x:c>
      <x:c r="J15" t="str">
        <x:f>IF(O15&gt;0,"-"&amp;TEXT(INT(O15/60),"00")&amp;":"&amp;TEXT(MOD(O15,60),"00"),"00:00")</x:f>
        <x:v>00:00</x:v>
      </x:c>
      <x:c r="K15" t="n">
        <x:f>ROUND((F15-C15-IF(OR(D15="",E15=""),0,E15-D15))*1440,0)</x:f>
        <x:v>447</x:v>
      </x:c>
      <x:c r="L15" t="n">
        <x:v>440</x:v>
      </x:c>
      <x:c r="M15" t="n">
        <x:f>K15-L15</x:f>
        <x:v>7</x:v>
      </x:c>
      <x:c r="N15" t="n">
        <x:f>MAX(0,M15)</x:f>
        <x:v>7</x:v>
      </x:c>
      <x:c r="O15" t="n">
        <x:f>MAX(0,-M15)</x:f>
        <x:v>0</x:v>
      </x:c>
      <x:c r="P15" t="str">
        <x:v>Ponto registrado — complemento ilustrativo</x:v>
      </x:c>
      <x:c r="Q15" t="str">
        <x:v>Saída da CONFERÊNCIA DE CAIXA; entrada/intervalo simulados</x:v>
      </x:c>
      <x:c r="R15" t="str">
        <x:v>2025-03</x:v>
      </x:c>
    </x:row>
    <x:row r="16" ht="21" customHeight="1">
      <x:c r="A16" s="83" t="n">
        <x:v>45731</x:v>
      </x:c>
      <x:c r="B16" t="str">
        <x:v>sábado</x:v>
      </x:c>
      <x:c r="C16" s="85" t="n">
        <x:v>0.5451388888888888</x:v>
      </x:c>
      <x:c r="D16" s="85" t="n">
        <x:v>0.6458333333333334</x:v>
      </x:c>
      <x:c r="E16" s="85" t="n">
        <x:v>0.6875</x:v>
      </x:c>
      <x:c r="F16" s="85" t="n">
        <x:v>0.9138888888888889</x:v>
      </x:c>
      <x:c r="G16" t="str">
        <x:f>TEXT(INT(K16/60),"00")&amp;":"&amp;TEXT(MOD(K16,60),"00")</x:f>
        <x:v>07:51</x:v>
      </x:c>
      <x:c r="H16" t="str">
        <x:f>TEXT(INT(L16/60),"00")&amp;":"&amp;TEXT(MOD(L16,60),"00")</x:f>
        <x:v>04:00</x:v>
      </x:c>
      <x:c r="I16" t="str">
        <x:f>IF(N16&gt;0,"+"&amp;TEXT(INT(N16/60),"00")&amp;":"&amp;TEXT(MOD(N16,60),"00"),"00:00")</x:f>
        <x:v>+03:51</x:v>
      </x:c>
      <x:c r="J16" t="str">
        <x:f>IF(O16&gt;0,"-"&amp;TEXT(INT(O16/60),"00")&amp;":"&amp;TEXT(MOD(O16,60),"00"),"00:00")</x:f>
        <x:v>00:00</x:v>
      </x:c>
      <x:c r="K16" t="n">
        <x:f>ROUND((F16-C16-IF(OR(D16="",E16=""),0,E16-D16))*1440,0)</x:f>
        <x:v>471</x:v>
      </x:c>
      <x:c r="L16" t="n">
        <x:v>240</x:v>
      </x:c>
      <x:c r="M16" t="n">
        <x:f>K16-L16</x:f>
        <x:v>231</x:v>
      </x:c>
      <x:c r="N16" t="n">
        <x:f>MAX(0,M16)</x:f>
        <x:v>231</x:v>
      </x:c>
      <x:c r="O16" t="n">
        <x:f>MAX(0,-M16)</x:f>
        <x:v>0</x:v>
      </x:c>
      <x:c r="P16" t="str">
        <x:v>Ponto registrado — jornada revisada</x:v>
      </x:c>
      <x:c r="Q16" t="str">
        <x:v>Horários da planilha de jornadas revisada</x:v>
      </x:c>
      <x:c r="R16" t="str">
        <x:v>2025-03</x:v>
      </x:c>
    </x:row>
    <x:row r="17" ht="21" customHeight="1">
      <x:c r="A17" s="83" t="n">
        <x:v>45733</x:v>
      </x:c>
      <x:c r="B17" t="str">
        <x:v>segunda-feira</x:v>
      </x:c>
      <x:c r="C17" s="85" t="n">
        <x:v>0.5402777777777777</x:v>
      </x:c>
      <x:c r="D17" s="85" t="n">
        <x:v>0.6784722222222223</x:v>
      </x:c>
      <x:c r="E17" s="85" t="n">
        <x:v>0.7215277777777778</x:v>
      </x:c>
      <x:c r="F17" s="85" t="n">
        <x:v>0.8868055555555555</x:v>
      </x:c>
      <x:c r="G17" t="str">
        <x:f>TEXT(INT(K17/60),"00")&amp;":"&amp;TEXT(MOD(K17,60),"00")</x:f>
        <x:v>07:17</x:v>
      </x:c>
      <x:c r="H17" t="str">
        <x:f>TEXT(INT(L17/60),"00")&amp;":"&amp;TEXT(MOD(L17,60),"00")</x:f>
        <x:v>07:20</x:v>
      </x:c>
      <x:c r="I17" t="str">
        <x:f>IF(N17&gt;0,"+"&amp;TEXT(INT(N17/60),"00")&amp;":"&amp;TEXT(MOD(N17,60),"00"),"00:00")</x:f>
        <x:v>00:00</x:v>
      </x:c>
      <x:c r="J17" t="str">
        <x:f>IF(O17&gt;0,"-"&amp;TEXT(INT(O17/60),"00")&amp;":"&amp;TEXT(MOD(O17,60),"00"),"00:00")</x:f>
        <x:v>-00:03</x:v>
      </x:c>
      <x:c r="K17" t="n">
        <x:f>ROUND((F17-C17-IF(OR(D17="",E17=""),0,E17-D17))*1440,0)</x:f>
        <x:v>437</x:v>
      </x:c>
      <x:c r="L17" t="n">
        <x:v>440</x:v>
      </x:c>
      <x:c r="M17" t="n">
        <x:f>K17-L17</x:f>
        <x:v>-3</x:v>
      </x:c>
      <x:c r="N17" t="n">
        <x:f>MAX(0,M17)</x:f>
        <x:v>0</x:v>
      </x:c>
      <x:c r="O17" t="n">
        <x:f>MAX(0,-M17)</x:f>
        <x:v>3</x:v>
      </x:c>
      <x:c r="P17" t="str">
        <x:v>Ponto registrado — complemento ilustrativo</x:v>
      </x:c>
      <x:c r="Q17" t="str">
        <x:v>Saída da CONFERÊNCIA DE CAIXA; entrada/intervalo simulados</x:v>
      </x:c>
      <x:c r="R17" t="str">
        <x:v>2025-03</x:v>
      </x:c>
    </x:row>
    <x:row r="18" ht="21" customHeight="1">
      <x:c r="A18" s="83" t="n">
        <x:v>45734</x:v>
      </x:c>
      <x:c r="B18" t="str">
        <x:v>terça-feira</x:v>
      </x:c>
      <x:c r="C18" s="85" t="n">
        <x:v>0.5409722222222222</x:v>
      </x:c>
      <x:c r="D18" s="85" t="n">
        <x:v>0.6791666666666667</x:v>
      </x:c>
      <x:c r="E18" s="85" t="n">
        <x:v>0.7229166666666667</x:v>
      </x:c>
      <x:c r="F18" s="85" t="n">
        <x:v>0.8868055555555555</x:v>
      </x:c>
      <x:c r="G18" t="str">
        <x:f>TEXT(INT(K18/60),"00")&amp;":"&amp;TEXT(MOD(K18,60),"00")</x:f>
        <x:v>07:15</x:v>
      </x:c>
      <x:c r="H18" t="str">
        <x:f>TEXT(INT(L18/60),"00")&amp;":"&amp;TEXT(MOD(L18,60),"00")</x:f>
        <x:v>07:20</x:v>
      </x:c>
      <x:c r="I18" t="str">
        <x:f>IF(N18&gt;0,"+"&amp;TEXT(INT(N18/60),"00")&amp;":"&amp;TEXT(MOD(N18,60),"00"),"00:00")</x:f>
        <x:v>00:00</x:v>
      </x:c>
      <x:c r="J18" t="str">
        <x:f>IF(O18&gt;0,"-"&amp;TEXT(INT(O18/60),"00")&amp;":"&amp;TEXT(MOD(O18,60),"00"),"00:00")</x:f>
        <x:v>-00:05</x:v>
      </x:c>
      <x:c r="K18" t="n">
        <x:f>ROUND((F18-C18-IF(OR(D18="",E18=""),0,E18-D18))*1440,0)</x:f>
        <x:v>435</x:v>
      </x:c>
      <x:c r="L18" t="n">
        <x:v>440</x:v>
      </x:c>
      <x:c r="M18" t="n">
        <x:f>K18-L18</x:f>
        <x:v>-5</x:v>
      </x:c>
      <x:c r="N18" t="n">
        <x:f>MAX(0,M18)</x:f>
        <x:v>0</x:v>
      </x:c>
      <x:c r="O18" t="n">
        <x:f>MAX(0,-M18)</x:f>
        <x:v>5</x:v>
      </x:c>
      <x:c r="P18" t="str">
        <x:v>Ponto registrado — complemento ilustrativo</x:v>
      </x:c>
      <x:c r="Q18" t="str">
        <x:v>Saída da CONFERÊNCIA DE CAIXA; entrada/intervalo simulados</x:v>
      </x:c>
      <x:c r="R18" t="str">
        <x:v>2025-03</x:v>
      </x:c>
    </x:row>
    <x:row r="19" ht="21" customHeight="1">
      <x:c r="A19" s="83" t="n">
        <x:v>45735</x:v>
      </x:c>
      <x:c r="B19" t="str">
        <x:v>quarta-feira</x:v>
      </x:c>
      <x:c r="C19" s="85" t="n">
        <x:v>0.5430555555555555</x:v>
      </x:c>
      <x:c r="D19" s="85" t="n">
        <x:v>0.6666666666666666</x:v>
      </x:c>
      <x:c r="E19" s="85" t="n">
        <x:v>0.7090277777777778</x:v>
      </x:c>
      <x:c r="F19" s="85" t="n">
        <x:v>0.8875</x:v>
      </x:c>
      <x:c r="G19" t="str">
        <x:f>TEXT(INT(K19/60),"00")&amp;":"&amp;TEXT(MOD(K19,60),"00")</x:f>
        <x:v>07:15</x:v>
      </x:c>
      <x:c r="H19" t="str">
        <x:f>TEXT(INT(L19/60),"00")&amp;":"&amp;TEXT(MOD(L19,60),"00")</x:f>
        <x:v>07:20</x:v>
      </x:c>
      <x:c r="I19" t="str">
        <x:f>IF(N19&gt;0,"+"&amp;TEXT(INT(N19/60),"00")&amp;":"&amp;TEXT(MOD(N19,60),"00"),"00:00")</x:f>
        <x:v>00:00</x:v>
      </x:c>
      <x:c r="J19" t="str">
        <x:f>IF(O19&gt;0,"-"&amp;TEXT(INT(O19/60),"00")&amp;":"&amp;TEXT(MOD(O19,60),"00"),"00:00")</x:f>
        <x:v>-00:05</x:v>
      </x:c>
      <x:c r="K19" t="n">
        <x:f>ROUND((F19-C19-IF(OR(D19="",E19=""),0,E19-D19))*1440,0)</x:f>
        <x:v>435</x:v>
      </x:c>
      <x:c r="L19" t="n">
        <x:v>440</x:v>
      </x:c>
      <x:c r="M19" t="n">
        <x:f>K19-L19</x:f>
        <x:v>-5</x:v>
      </x:c>
      <x:c r="N19" t="n">
        <x:f>MAX(0,M19)</x:f>
        <x:v>0</x:v>
      </x:c>
      <x:c r="O19" t="n">
        <x:f>MAX(0,-M19)</x:f>
        <x:v>5</x:v>
      </x:c>
      <x:c r="P19" t="str">
        <x:v>Ponto registrado — complemento ilustrativo</x:v>
      </x:c>
      <x:c r="Q19" t="str">
        <x:v>Saída da CONFERÊNCIA DE CAIXA; entrada/intervalo simulados</x:v>
      </x:c>
      <x:c r="R19" t="str">
        <x:v>2025-03</x:v>
      </x:c>
    </x:row>
    <x:row r="20" ht="21" customHeight="1">
      <x:c r="A20" s="83" t="n">
        <x:v>45736</x:v>
      </x:c>
      <x:c r="B20" t="str">
        <x:v>quinta-feira</x:v>
      </x:c>
      <x:c r="C20" s="85" t="n">
        <x:v>0.54375</x:v>
      </x:c>
      <x:c r="D20" s="85" t="n">
        <x:v>0.6840277777777778</x:v>
      </x:c>
      <x:c r="E20" s="85" t="n">
        <x:v>0.7222222222222222</x:v>
      </x:c>
      <x:c r="F20" s="85" t="n">
        <x:v>0.8888888888888888</x:v>
      </x:c>
      <x:c r="G20" t="str">
        <x:f>TEXT(INT(K20/60),"00")&amp;":"&amp;TEXT(MOD(K20,60),"00")</x:f>
        <x:v>07:22</x:v>
      </x:c>
      <x:c r="H20" t="str">
        <x:f>TEXT(INT(L20/60),"00")&amp;":"&amp;TEXT(MOD(L20,60),"00")</x:f>
        <x:v>07:20</x:v>
      </x:c>
      <x:c r="I20" t="str">
        <x:f>IF(N20&gt;0,"+"&amp;TEXT(INT(N20/60),"00")&amp;":"&amp;TEXT(MOD(N20,60),"00"),"00:00")</x:f>
        <x:v>+00:02</x:v>
      </x:c>
      <x:c r="J20" t="str">
        <x:f>IF(O20&gt;0,"-"&amp;TEXT(INT(O20/60),"00")&amp;":"&amp;TEXT(MOD(O20,60),"00"),"00:00")</x:f>
        <x:v>00:00</x:v>
      </x:c>
      <x:c r="K20" t="n">
        <x:f>ROUND((F20-C20-IF(OR(D20="",E20=""),0,E20-D20))*1440,0)</x:f>
        <x:v>442</x:v>
      </x:c>
      <x:c r="L20" t="n">
        <x:v>440</x:v>
      </x:c>
      <x:c r="M20" t="n">
        <x:f>K20-L20</x:f>
        <x:v>2</x:v>
      </x:c>
      <x:c r="N20" t="n">
        <x:f>MAX(0,M20)</x:f>
        <x:v>2</x:v>
      </x:c>
      <x:c r="O20" t="n">
        <x:f>MAX(0,-M20)</x:f>
        <x:v>0</x:v>
      </x:c>
      <x:c r="P20" t="str">
        <x:v>Ponto registrado — jornada revisada</x:v>
      </x:c>
      <x:c r="Q20" t="str">
        <x:v>Horários da planilha de jornadas revisada</x:v>
      </x:c>
      <x:c r="R20" t="str">
        <x:v>2025-03</x:v>
      </x:c>
    </x:row>
    <x:row r="21" ht="21" customHeight="1">
      <x:c r="A21" s="83" t="n">
        <x:v>45737</x:v>
      </x:c>
      <x:c r="B21" t="str">
        <x:v>sexta-feira</x:v>
      </x:c>
      <x:c r="C21" s="85" t="n">
        <x:v>0.5395833333333333</x:v>
      </x:c>
      <x:c r="D21" s="85" t="n">
        <x:v>0.6743055555555556</x:v>
      </x:c>
      <x:c r="E21" s="85" t="n">
        <x:v>0.71875</x:v>
      </x:c>
      <x:c r="F21" s="85" t="n">
        <x:v>0.8861111111111111</x:v>
      </x:c>
      <x:c r="G21" t="str">
        <x:f>TEXT(INT(K21/60),"00")&amp;":"&amp;TEXT(MOD(K21,60),"00")</x:f>
        <x:v>07:15</x:v>
      </x:c>
      <x:c r="H21" t="str">
        <x:f>TEXT(INT(L21/60),"00")&amp;":"&amp;TEXT(MOD(L21,60),"00")</x:f>
        <x:v>07:20</x:v>
      </x:c>
      <x:c r="I21" t="str">
        <x:f>IF(N21&gt;0,"+"&amp;TEXT(INT(N21/60),"00")&amp;":"&amp;TEXT(MOD(N21,60),"00"),"00:00")</x:f>
        <x:v>00:00</x:v>
      </x:c>
      <x:c r="J21" t="str">
        <x:f>IF(O21&gt;0,"-"&amp;TEXT(INT(O21/60),"00")&amp;":"&amp;TEXT(MOD(O21,60),"00"),"00:00")</x:f>
        <x:v>-00:05</x:v>
      </x:c>
      <x:c r="K21" t="n">
        <x:f>ROUND((F21-C21-IF(OR(D21="",E21=""),0,E21-D21))*1440,0)</x:f>
        <x:v>435</x:v>
      </x:c>
      <x:c r="L21" t="n">
        <x:v>440</x:v>
      </x:c>
      <x:c r="M21" t="n">
        <x:f>K21-L21</x:f>
        <x:v>-5</x:v>
      </x:c>
      <x:c r="N21" t="n">
        <x:f>MAX(0,M21)</x:f>
        <x:v>0</x:v>
      </x:c>
      <x:c r="O21" t="n">
        <x:f>MAX(0,-M21)</x:f>
        <x:v>5</x:v>
      </x:c>
      <x:c r="P21" t="str">
        <x:v>Ponto registrado — complemento ilustrativo</x:v>
      </x:c>
      <x:c r="Q21" t="str">
        <x:v>Saída da CONFERÊNCIA DE CAIXA; entrada/intervalo simulados</x:v>
      </x:c>
      <x:c r="R21" t="str">
        <x:v>2025-03</x:v>
      </x:c>
    </x:row>
    <x:row r="22" ht="21" customHeight="1">
      <x:c r="A22" s="83" t="n">
        <x:v>45738</x:v>
      </x:c>
      <x:c r="B22" t="str">
        <x:v>sábado</x:v>
      </x:c>
      <x:c r="C22" s="85" t="n">
        <x:v>0.5409722222222222</x:v>
      </x:c>
      <x:c r="D22" s="85"/>
      <x:c r="E22" s="85"/>
      <x:c r="F22" s="85" t="n">
        <x:v>0.7083333333333334</x:v>
      </x:c>
      <x:c r="G22" t="str">
        <x:f>TEXT(INT(K22/60),"00")&amp;":"&amp;TEXT(MOD(K22,60),"00")</x:f>
        <x:v>04:01</x:v>
      </x:c>
      <x:c r="H22" t="str">
        <x:f>TEXT(INT(L22/60),"00")&amp;":"&amp;TEXT(MOD(L22,60),"00")</x:f>
        <x:v>04:00</x:v>
      </x:c>
      <x:c r="I22" t="str">
        <x:f>IF(N22&gt;0,"+"&amp;TEXT(INT(N22/60),"00")&amp;":"&amp;TEXT(MOD(N22,60),"00"),"00:00")</x:f>
        <x:v>+00:01</x:v>
      </x:c>
      <x:c r="J22" t="str">
        <x:f>IF(O22&gt;0,"-"&amp;TEXT(INT(O22/60),"00")&amp;":"&amp;TEXT(MOD(O22,60),"00"),"00:00")</x:f>
        <x:v>00:00</x:v>
      </x:c>
      <x:c r="K22" t="n">
        <x:f>ROUND((F22-C22-IF(OR(D22="",E22=""),0,E22-D22))*1440,0)</x:f>
        <x:v>241</x:v>
      </x:c>
      <x:c r="L22" t="n">
        <x:v>240</x:v>
      </x:c>
      <x:c r="M22" t="n">
        <x:f>K22-L22</x:f>
        <x:v>1</x:v>
      </x:c>
      <x:c r="N22" t="n">
        <x:f>MAX(0,M22)</x:f>
        <x:v>1</x:v>
      </x:c>
      <x:c r="O22" t="n">
        <x:f>MAX(0,-M22)</x:f>
        <x:v>0</x:v>
      </x:c>
      <x:c r="P22" t="str">
        <x:v>Ponto registrado — complemento ilustrativo</x:v>
      </x:c>
      <x:c r="Q22" t="str">
        <x:v>Saída da CONFERÊNCIA DE CAIXA; entrada/intervalo simulados</x:v>
      </x:c>
      <x:c r="R22" t="str">
        <x:v>2025-03</x:v>
      </x:c>
    </x:row>
    <x:row r="23" ht="21" customHeight="1">
      <x:c r="A23" s="83" t="n">
        <x:v>45740</x:v>
      </x:c>
      <x:c r="B23" t="str">
        <x:v>segunda-feira</x:v>
      </x:c>
      <x:c r="C23" s="85" t="n">
        <x:v>0.54375</x:v>
      </x:c>
      <x:c r="D23" s="85" t="n">
        <x:v>0.6722222222222223</x:v>
      </x:c>
      <x:c r="E23" s="85" t="n">
        <x:v>0.7131944444444445</x:v>
      </x:c>
      <x:c r="F23" s="85" t="n">
        <x:v>0.8888888888888888</x:v>
      </x:c>
      <x:c r="G23" t="str">
        <x:f>TEXT(INT(K23/60),"00")&amp;":"&amp;TEXT(MOD(K23,60),"00")</x:f>
        <x:v>07:18</x:v>
      </x:c>
      <x:c r="H23" t="str">
        <x:f>TEXT(INT(L23/60),"00")&amp;":"&amp;TEXT(MOD(L23,60),"00")</x:f>
        <x:v>07:20</x:v>
      </x:c>
      <x:c r="I23" t="str">
        <x:f>IF(N23&gt;0,"+"&amp;TEXT(INT(N23/60),"00")&amp;":"&amp;TEXT(MOD(N23,60),"00"),"00:00")</x:f>
        <x:v>00:00</x:v>
      </x:c>
      <x:c r="J23" t="str">
        <x:f>IF(O23&gt;0,"-"&amp;TEXT(INT(O23/60),"00")&amp;":"&amp;TEXT(MOD(O23,60),"00"),"00:00")</x:f>
        <x:v>-00:02</x:v>
      </x:c>
      <x:c r="K23" t="n">
        <x:f>ROUND((F23-C23-IF(OR(D23="",E23=""),0,E23-D23))*1440,0)</x:f>
        <x:v>438</x:v>
      </x:c>
      <x:c r="L23" t="n">
        <x:v>440</x:v>
      </x:c>
      <x:c r="M23" t="n">
        <x:f>K23-L23</x:f>
        <x:v>-2</x:v>
      </x:c>
      <x:c r="N23" t="n">
        <x:f>MAX(0,M23)</x:f>
        <x:v>0</x:v>
      </x:c>
      <x:c r="O23" t="n">
        <x:f>MAX(0,-M23)</x:f>
        <x:v>2</x:v>
      </x:c>
      <x:c r="P23" t="str">
        <x:v>Ponto registrado — complemento ilustrativo</x:v>
      </x:c>
      <x:c r="Q23" t="str">
        <x:v>Saída da CONFERÊNCIA DE CAIXA; entrada/intervalo simulados</x:v>
      </x:c>
      <x:c r="R23" t="str">
        <x:v>2025-03</x:v>
      </x:c>
    </x:row>
    <x:row r="24" ht="21" customHeight="1">
      <x:c r="A24" s="83" t="n">
        <x:v>45741</x:v>
      </x:c>
      <x:c r="B24" t="str">
        <x:v>terça-feira</x:v>
      </x:c>
      <x:c r="C24" s="85" t="n">
        <x:v>0.5465277777777777</x:v>
      </x:c>
      <x:c r="D24" s="85" t="n">
        <x:v>0.68125</x:v>
      </x:c>
      <x:c r="E24" s="85" t="n">
        <x:v>0.7256944444444444</x:v>
      </x:c>
      <x:c r="F24" s="85" t="n">
        <x:v>0.8861111111111111</x:v>
      </x:c>
      <x:c r="G24" t="str">
        <x:f>TEXT(INT(K24/60),"00")&amp;":"&amp;TEXT(MOD(K24,60),"00")</x:f>
        <x:v>07:05</x:v>
      </x:c>
      <x:c r="H24" t="str">
        <x:f>TEXT(INT(L24/60),"00")&amp;":"&amp;TEXT(MOD(L24,60),"00")</x:f>
        <x:v>07:20</x:v>
      </x:c>
      <x:c r="I24" t="str">
        <x:f>IF(N24&gt;0,"+"&amp;TEXT(INT(N24/60),"00")&amp;":"&amp;TEXT(MOD(N24,60),"00"),"00:00")</x:f>
        <x:v>00:00</x:v>
      </x:c>
      <x:c r="J24" t="str">
        <x:f>IF(O24&gt;0,"-"&amp;TEXT(INT(O24/60),"00")&amp;":"&amp;TEXT(MOD(O24,60),"00"),"00:00")</x:f>
        <x:v>-00:15</x:v>
      </x:c>
      <x:c r="K24" t="n">
        <x:f>ROUND((F24-C24-IF(OR(D24="",E24=""),0,E24-D24))*1440,0)</x:f>
        <x:v>425</x:v>
      </x:c>
      <x:c r="L24" t="n">
        <x:v>440</x:v>
      </x:c>
      <x:c r="M24" t="n">
        <x:f>K24-L24</x:f>
        <x:v>-15</x:v>
      </x:c>
      <x:c r="N24" t="n">
        <x:f>MAX(0,M24)</x:f>
        <x:v>0</x:v>
      </x:c>
      <x:c r="O24" t="n">
        <x:f>MAX(0,-M24)</x:f>
        <x:v>15</x:v>
      </x:c>
      <x:c r="P24" t="str">
        <x:v>Ponto registrado — complemento ilustrativo</x:v>
      </x:c>
      <x:c r="Q24" t="str">
        <x:v>Saída da CONFERÊNCIA DE CAIXA; entrada/intervalo simulados</x:v>
      </x:c>
      <x:c r="R24" t="str">
        <x:v>2025-03</x:v>
      </x:c>
    </x:row>
    <x:row r="25" ht="21" customHeight="1">
      <x:c r="A25" s="83" t="n">
        <x:v>45742</x:v>
      </x:c>
      <x:c r="B25" t="str">
        <x:v>quarta-feira</x:v>
      </x:c>
      <x:c r="C25" s="85" t="n">
        <x:v>0.5465277777777777</x:v>
      </x:c>
      <x:c r="D25" s="85" t="n">
        <x:v>0.6875</x:v>
      </x:c>
      <x:c r="E25" s="85" t="n">
        <x:v>0.7284722222222222</x:v>
      </x:c>
      <x:c r="F25" s="85" t="n">
        <x:v>0.8895833333333333</x:v>
      </x:c>
      <x:c r="G25" t="str">
        <x:f>TEXT(INT(K25/60),"00")&amp;":"&amp;TEXT(MOD(K25,60),"00")</x:f>
        <x:v>07:15</x:v>
      </x:c>
      <x:c r="H25" t="str">
        <x:f>TEXT(INT(L25/60),"00")&amp;":"&amp;TEXT(MOD(L25,60),"00")</x:f>
        <x:v>07:20</x:v>
      </x:c>
      <x:c r="I25" t="str">
        <x:f>IF(N25&gt;0,"+"&amp;TEXT(INT(N25/60),"00")&amp;":"&amp;TEXT(MOD(N25,60),"00"),"00:00")</x:f>
        <x:v>00:00</x:v>
      </x:c>
      <x:c r="J25" t="str">
        <x:f>IF(O25&gt;0,"-"&amp;TEXT(INT(O25/60),"00")&amp;":"&amp;TEXT(MOD(O25,60),"00"),"00:00")</x:f>
        <x:v>-00:05</x:v>
      </x:c>
      <x:c r="K25" t="n">
        <x:f>ROUND((F25-C25-IF(OR(D25="",E25=""),0,E25-D25))*1440,0)</x:f>
        <x:v>435</x:v>
      </x:c>
      <x:c r="L25" t="n">
        <x:v>440</x:v>
      </x:c>
      <x:c r="M25" t="n">
        <x:f>K25-L25</x:f>
        <x:v>-5</x:v>
      </x:c>
      <x:c r="N25" t="n">
        <x:f>MAX(0,M25)</x:f>
        <x:v>0</x:v>
      </x:c>
      <x:c r="O25" t="n">
        <x:f>MAX(0,-M25)</x:f>
        <x:v>5</x:v>
      </x:c>
      <x:c r="P25" t="str">
        <x:v>Ponto registrado — jornada revisada</x:v>
      </x:c>
      <x:c r="Q25" t="str">
        <x:v>Horários da planilha de jornadas revisada</x:v>
      </x:c>
      <x:c r="R25" t="str">
        <x:v>2025-03</x:v>
      </x:c>
    </x:row>
    <x:row r="26" ht="21" customHeight="1">
      <x:c r="A26" s="83" t="n">
        <x:v>45743</x:v>
      </x:c>
      <x:c r="B26" t="str">
        <x:v>quinta-feira</x:v>
      </x:c>
      <x:c r="C26" s="85" t="n">
        <x:v>0.5388888888888889</x:v>
      </x:c>
      <x:c r="D26" s="85" t="n">
        <x:v>0.6805555555555556</x:v>
      </x:c>
      <x:c r="E26" s="85" t="n">
        <x:v>0.7201388888888889</x:v>
      </x:c>
      <x:c r="F26" s="85" t="n">
        <x:v>0.8861111111111111</x:v>
      </x:c>
      <x:c r="G26" t="str">
        <x:f>TEXT(INT(K26/60),"00")&amp;":"&amp;TEXT(MOD(K26,60),"00")</x:f>
        <x:v>07:23</x:v>
      </x:c>
      <x:c r="H26" t="str">
        <x:f>TEXT(INT(L26/60),"00")&amp;":"&amp;TEXT(MOD(L26,60),"00")</x:f>
        <x:v>07:20</x:v>
      </x:c>
      <x:c r="I26" t="str">
        <x:f>IF(N26&gt;0,"+"&amp;TEXT(INT(N26/60),"00")&amp;":"&amp;TEXT(MOD(N26,60),"00"),"00:00")</x:f>
        <x:v>+00:03</x:v>
      </x:c>
      <x:c r="J26" t="str">
        <x:f>IF(O26&gt;0,"-"&amp;TEXT(INT(O26/60),"00")&amp;":"&amp;TEXT(MOD(O26,60),"00"),"00:00")</x:f>
        <x:v>00:00</x:v>
      </x:c>
      <x:c r="K26" t="n">
        <x:f>ROUND((F26-C26-IF(OR(D26="",E26=""),0,E26-D26))*1440,0)</x:f>
        <x:v>443</x:v>
      </x:c>
      <x:c r="L26" t="n">
        <x:v>440</x:v>
      </x:c>
      <x:c r="M26" t="n">
        <x:f>K26-L26</x:f>
        <x:v>3</x:v>
      </x:c>
      <x:c r="N26" t="n">
        <x:f>MAX(0,M26)</x:f>
        <x:v>3</x:v>
      </x:c>
      <x:c r="O26" t="n">
        <x:f>MAX(0,-M26)</x:f>
        <x:v>0</x:v>
      </x:c>
      <x:c r="P26" t="str">
        <x:v>Ponto registrado — complemento ilustrativo</x:v>
      </x:c>
      <x:c r="Q26" t="str">
        <x:v>Saída da CONFERÊNCIA DE CAIXA; entrada/intervalo simulados</x:v>
      </x:c>
      <x:c r="R26" t="str">
        <x:v>2025-03</x:v>
      </x:c>
    </x:row>
    <x:row r="27" ht="21" customHeight="1">
      <x:c r="A27" s="83" t="n">
        <x:v>45744</x:v>
      </x:c>
      <x:c r="B27" t="str">
        <x:v>sexta-feira</x:v>
      </x:c>
      <x:c r="C27" s="85" t="n">
        <x:v>0.5416666666666666</x:v>
      </x:c>
      <x:c r="D27" s="85" t="n">
        <x:v>0.6694444444444444</x:v>
      </x:c>
      <x:c r="E27" s="85" t="n">
        <x:v>0.7090277777777778</x:v>
      </x:c>
      <x:c r="F27" s="85" t="n">
        <x:v>0.8888888888888888</x:v>
      </x:c>
      <x:c r="G27" t="str">
        <x:f>TEXT(INT(K27/60),"00")&amp;":"&amp;TEXT(MOD(K27,60),"00")</x:f>
        <x:v>07:23</x:v>
      </x:c>
      <x:c r="H27" t="str">
        <x:f>TEXT(INT(L27/60),"00")&amp;":"&amp;TEXT(MOD(L27,60),"00")</x:f>
        <x:v>07:20</x:v>
      </x:c>
      <x:c r="I27" t="str">
        <x:f>IF(N27&gt;0,"+"&amp;TEXT(INT(N27/60),"00")&amp;":"&amp;TEXT(MOD(N27,60),"00"),"00:00")</x:f>
        <x:v>+00:03</x:v>
      </x:c>
      <x:c r="J27" t="str">
        <x:f>IF(O27&gt;0,"-"&amp;TEXT(INT(O27/60),"00")&amp;":"&amp;TEXT(MOD(O27,60),"00"),"00:00")</x:f>
        <x:v>00:00</x:v>
      </x:c>
      <x:c r="K27" t="n">
        <x:f>ROUND((F27-C27-IF(OR(D27="",E27=""),0,E27-D27))*1440,0)</x:f>
        <x:v>443</x:v>
      </x:c>
      <x:c r="L27" t="n">
        <x:v>440</x:v>
      </x:c>
      <x:c r="M27" t="n">
        <x:f>K27-L27</x:f>
        <x:v>3</x:v>
      </x:c>
      <x:c r="N27" t="n">
        <x:f>MAX(0,M27)</x:f>
        <x:v>3</x:v>
      </x:c>
      <x:c r="O27" t="n">
        <x:f>MAX(0,-M27)</x:f>
        <x:v>0</x:v>
      </x:c>
      <x:c r="P27" t="str">
        <x:v>Ponto registrado — complemento ilustrativo</x:v>
      </x:c>
      <x:c r="Q27" t="str">
        <x:v>Saída da CONFERÊNCIA DE CAIXA; entrada/intervalo simulados</x:v>
      </x:c>
      <x:c r="R27" t="str">
        <x:v>2025-03</x:v>
      </x:c>
    </x:row>
    <x:row r="28" ht="21" customHeight="1">
      <x:c r="A28" s="83" t="n">
        <x:v>45745</x:v>
      </x:c>
      <x:c r="B28" t="str">
        <x:v>sábado</x:v>
      </x:c>
      <x:c r="C28" s="85" t="n">
        <x:v>0.5416666666666666</x:v>
      </x:c>
      <x:c r="D28" s="85" t="n">
        <x:v>0.6493055555555556</x:v>
      </x:c>
      <x:c r="E28" s="85" t="n">
        <x:v>0.6597222222222222</x:v>
      </x:c>
      <x:c r="F28" s="85" t="n">
        <x:v>0.7097222222222223</x:v>
      </x:c>
      <x:c r="G28" t="str">
        <x:f>TEXT(INT(K28/60),"00")&amp;":"&amp;TEXT(MOD(K28,60),"00")</x:f>
        <x:v>03:47</x:v>
      </x:c>
      <x:c r="H28" t="str">
        <x:f>TEXT(INT(L28/60),"00")&amp;":"&amp;TEXT(MOD(L28,60),"00")</x:f>
        <x:v>04:00</x:v>
      </x:c>
      <x:c r="I28" t="str">
        <x:f>IF(N28&gt;0,"+"&amp;TEXT(INT(N28/60),"00")&amp;":"&amp;TEXT(MOD(N28,60),"00"),"00:00")</x:f>
        <x:v>00:00</x:v>
      </x:c>
      <x:c r="J28" t="str">
        <x:f>IF(O28&gt;0,"-"&amp;TEXT(INT(O28/60),"00")&amp;":"&amp;TEXT(MOD(O28,60),"00"),"00:00")</x:f>
        <x:v>-00:13</x:v>
      </x:c>
      <x:c r="K28" t="n">
        <x:f>ROUND((F28-C28-IF(OR(D28="",E28=""),0,E28-D28))*1440,0)</x:f>
        <x:v>227</x:v>
      </x:c>
      <x:c r="L28" t="n">
        <x:v>240</x:v>
      </x:c>
      <x:c r="M28" t="n">
        <x:f>K28-L28</x:f>
        <x:v>-13</x:v>
      </x:c>
      <x:c r="N28" t="n">
        <x:f>MAX(0,M28)</x:f>
        <x:v>0</x:v>
      </x:c>
      <x:c r="O28" t="n">
        <x:f>MAX(0,-M28)</x:f>
        <x:v>13</x:v>
      </x:c>
      <x:c r="P28" t="str">
        <x:v>Ponto registrado — complemento ilustrativo</x:v>
      </x:c>
      <x:c r="Q28" t="str">
        <x:v>Saída da CONFERÊNCIA DE CAIXA; entrada/intervalo simulados</x:v>
      </x:c>
      <x:c r="R28" t="str">
        <x:v>2025-03</x:v>
      </x:c>
    </x:row>
    <x:row r="29" ht="21" customHeight="1">
      <x:c r="A29" s="83" t="n">
        <x:v>45747</x:v>
      </x:c>
      <x:c r="B29" t="str">
        <x:v>segunda-feira</x:v>
      </x:c>
      <x:c r="C29" s="85" t="n">
        <x:v>0.5444444444444444</x:v>
      </x:c>
      <x:c r="D29" s="85" t="n">
        <x:v>0.6673611111111111</x:v>
      </x:c>
      <x:c r="E29" s="85" t="n">
        <x:v>0.7090277777777778</x:v>
      </x:c>
      <x:c r="F29" s="85" t="n">
        <x:v>0.8909722222222223</x:v>
      </x:c>
      <x:c r="G29" t="str">
        <x:f>TEXT(INT(K29/60),"00")&amp;":"&amp;TEXT(MOD(K29,60),"00")</x:f>
        <x:v>07:19</x:v>
      </x:c>
      <x:c r="H29" t="str">
        <x:f>TEXT(INT(L29/60),"00")&amp;":"&amp;TEXT(MOD(L29,60),"00")</x:f>
        <x:v>07:20</x:v>
      </x:c>
      <x:c r="I29" t="str">
        <x:f>IF(N29&gt;0,"+"&amp;TEXT(INT(N29/60),"00")&amp;":"&amp;TEXT(MOD(N29,60),"00"),"00:00")</x:f>
        <x:v>00:00</x:v>
      </x:c>
      <x:c r="J29" t="str">
        <x:f>IF(O29&gt;0,"-"&amp;TEXT(INT(O29/60),"00")&amp;":"&amp;TEXT(MOD(O29,60),"00"),"00:00")</x:f>
        <x:v>-00:01</x:v>
      </x:c>
      <x:c r="K29" t="n">
        <x:f>ROUND((F29-C29-IF(OR(D29="",E29=""),0,E29-D29))*1440,0)</x:f>
        <x:v>439</x:v>
      </x:c>
      <x:c r="L29" t="n">
        <x:v>440</x:v>
      </x:c>
      <x:c r="M29" t="n">
        <x:f>K29-L29</x:f>
        <x:v>-1</x:v>
      </x:c>
      <x:c r="N29" t="n">
        <x:f>MAX(0,M29)</x:f>
        <x:v>0</x:v>
      </x:c>
      <x:c r="O29" t="n">
        <x:f>MAX(0,-M29)</x:f>
        <x:v>1</x:v>
      </x:c>
      <x:c r="P29" t="str">
        <x:v>Ponto registrado — complemento ilustrativo</x:v>
      </x:c>
      <x:c r="Q29" t="str">
        <x:v>Saída da CONFERÊNCIA DE CAIXA; entrada/intervalo simulados</x:v>
      </x:c>
      <x:c r="R29" t="str">
        <x:v>2025-03</x:v>
      </x:c>
    </x:row>
    <x:row r="30" ht="21" customHeight="1">
      <x:c r="A30" s="83" t="n">
        <x:v>45748</x:v>
      </x:c>
      <x:c r="B30" t="str">
        <x:v>terça-feira</x:v>
      </x:c>
      <x:c r="C30" s="85" t="n">
        <x:v>0.5430555555555555</x:v>
      </x:c>
      <x:c r="D30" s="85" t="n">
        <x:v>0.6784722222222223</x:v>
      </x:c>
      <x:c r="E30" s="85" t="n">
        <x:v>0.7215277777777778</x:v>
      </x:c>
      <x:c r="F30" s="85" t="n">
        <x:v>0.8868055555555555</x:v>
      </x:c>
      <x:c r="G30" t="str">
        <x:f>TEXT(INT(K30/60),"00")&amp;":"&amp;TEXT(MOD(K30,60),"00")</x:f>
        <x:v>07:13</x:v>
      </x:c>
      <x:c r="H30" t="str">
        <x:f>TEXT(INT(L30/60),"00")&amp;":"&amp;TEXT(MOD(L30,60),"00")</x:f>
        <x:v>07:20</x:v>
      </x:c>
      <x:c r="I30" t="str">
        <x:f>IF(N30&gt;0,"+"&amp;TEXT(INT(N30/60),"00")&amp;":"&amp;TEXT(MOD(N30,60),"00"),"00:00")</x:f>
        <x:v>00:00</x:v>
      </x:c>
      <x:c r="J30" t="str">
        <x:f>IF(O30&gt;0,"-"&amp;TEXT(INT(O30/60),"00")&amp;":"&amp;TEXT(MOD(O30,60),"00"),"00:00")</x:f>
        <x:v>-00:07</x:v>
      </x:c>
      <x:c r="K30" t="n">
        <x:f>ROUND((F30-C30-IF(OR(D30="",E30=""),0,E30-D30))*1440,0)</x:f>
        <x:v>433</x:v>
      </x:c>
      <x:c r="L30" t="n">
        <x:v>440</x:v>
      </x:c>
      <x:c r="M30" t="n">
        <x:f>K30-L30</x:f>
        <x:v>-7</x:v>
      </x:c>
      <x:c r="N30" t="n">
        <x:f>MAX(0,M30)</x:f>
        <x:v>0</x:v>
      </x:c>
      <x:c r="O30" t="n">
        <x:f>MAX(0,-M30)</x:f>
        <x:v>7</x:v>
      </x:c>
      <x:c r="P30" t="str">
        <x:v>Ponto registrado — complemento ilustrativo</x:v>
      </x:c>
      <x:c r="Q30" t="str">
        <x:v>Saída da CONFERÊNCIA DE CAIXA; entrada/intervalo simulados</x:v>
      </x:c>
      <x:c r="R30" t="str">
        <x:v>2025-04</x:v>
      </x:c>
    </x:row>
    <x:row r="31" ht="21" customHeight="1">
      <x:c r="A31" s="83" t="n">
        <x:v>45749</x:v>
      </x:c>
      <x:c r="B31" t="str">
        <x:v>quarta-feira</x:v>
      </x:c>
      <x:c r="C31" s="85" t="n">
        <x:v>0.5451388888888888</x:v>
      </x:c>
      <x:c r="D31" s="85" t="n">
        <x:v>0.6715277777777777</x:v>
      </x:c>
      <x:c r="E31" s="85" t="n">
        <x:v>0.7125</x:v>
      </x:c>
      <x:c r="F31" s="85" t="n">
        <x:v>0.8875</x:v>
      </x:c>
      <x:c r="G31" t="str">
        <x:f>TEXT(INT(K31/60),"00")&amp;":"&amp;TEXT(MOD(K31,60),"00")</x:f>
        <x:v>07:14</x:v>
      </x:c>
      <x:c r="H31" t="str">
        <x:f>TEXT(INT(L31/60),"00")&amp;":"&amp;TEXT(MOD(L31,60),"00")</x:f>
        <x:v>07:20</x:v>
      </x:c>
      <x:c r="I31" t="str">
        <x:f>IF(N31&gt;0,"+"&amp;TEXT(INT(N31/60),"00")&amp;":"&amp;TEXT(MOD(N31,60),"00"),"00:00")</x:f>
        <x:v>00:00</x:v>
      </x:c>
      <x:c r="J31" t="str">
        <x:f>IF(O31&gt;0,"-"&amp;TEXT(INT(O31/60),"00")&amp;":"&amp;TEXT(MOD(O31,60),"00"),"00:00")</x:f>
        <x:v>-00:06</x:v>
      </x:c>
      <x:c r="K31" t="n">
        <x:f>ROUND((F31-C31-IF(OR(D31="",E31=""),0,E31-D31))*1440,0)</x:f>
        <x:v>434</x:v>
      </x:c>
      <x:c r="L31" t="n">
        <x:v>440</x:v>
      </x:c>
      <x:c r="M31" t="n">
        <x:f>K31-L31</x:f>
        <x:v>-6</x:v>
      </x:c>
      <x:c r="N31" t="n">
        <x:f>MAX(0,M31)</x:f>
        <x:v>0</x:v>
      </x:c>
      <x:c r="O31" t="n">
        <x:f>MAX(0,-M31)</x:f>
        <x:v>6</x:v>
      </x:c>
      <x:c r="P31" t="str">
        <x:v>Ponto registrado — complemento ilustrativo</x:v>
      </x:c>
      <x:c r="Q31" t="str">
        <x:v>Saída da CONFERÊNCIA DE CAIXA; entrada/intervalo simulados</x:v>
      </x:c>
      <x:c r="R31" t="str">
        <x:v>2025-04</x:v>
      </x:c>
    </x:row>
    <x:row r="32" ht="21" customHeight="1">
      <x:c r="A32" s="83" t="n">
        <x:v>45750</x:v>
      </x:c>
      <x:c r="B32" t="str">
        <x:v>quinta-feira</x:v>
      </x:c>
      <x:c r="C32" s="85" t="n">
        <x:v>0.5465277777777777</x:v>
      </x:c>
      <x:c r="D32" s="85" t="n">
        <x:v>0.6694444444444444</x:v>
      </x:c>
      <x:c r="E32" s="85" t="n">
        <x:v>0.7125</x:v>
      </x:c>
      <x:c r="F32" s="85" t="n">
        <x:v>0.8875</x:v>
      </x:c>
      <x:c r="G32" t="str">
        <x:f>TEXT(INT(K32/60),"00")&amp;":"&amp;TEXT(MOD(K32,60),"00")</x:f>
        <x:v>07:09</x:v>
      </x:c>
      <x:c r="H32" t="str">
        <x:f>TEXT(INT(L32/60),"00")&amp;":"&amp;TEXT(MOD(L32,60),"00")</x:f>
        <x:v>07:20</x:v>
      </x:c>
      <x:c r="I32" t="str">
        <x:f>IF(N32&gt;0,"+"&amp;TEXT(INT(N32/60),"00")&amp;":"&amp;TEXT(MOD(N32,60),"00"),"00:00")</x:f>
        <x:v>00:00</x:v>
      </x:c>
      <x:c r="J32" t="str">
        <x:f>IF(O32&gt;0,"-"&amp;TEXT(INT(O32/60),"00")&amp;":"&amp;TEXT(MOD(O32,60),"00"),"00:00")</x:f>
        <x:v>-00:11</x:v>
      </x:c>
      <x:c r="K32" t="n">
        <x:f>ROUND((F32-C32-IF(OR(D32="",E32=""),0,E32-D32))*1440,0)</x:f>
        <x:v>429</x:v>
      </x:c>
      <x:c r="L32" t="n">
        <x:v>440</x:v>
      </x:c>
      <x:c r="M32" t="n">
        <x:f>K32-L32</x:f>
        <x:v>-11</x:v>
      </x:c>
      <x:c r="N32" t="n">
        <x:f>MAX(0,M32)</x:f>
        <x:v>0</x:v>
      </x:c>
      <x:c r="O32" t="n">
        <x:f>MAX(0,-M32)</x:f>
        <x:v>11</x:v>
      </x:c>
      <x:c r="P32" t="str">
        <x:v>Ponto registrado — complemento ilustrativo</x:v>
      </x:c>
      <x:c r="Q32" t="str">
        <x:v>Saída da CONFERÊNCIA DE CAIXA; entrada/intervalo simulados</x:v>
      </x:c>
      <x:c r="R32" t="str">
        <x:v>2025-04</x:v>
      </x:c>
    </x:row>
    <x:row r="33" ht="21" customHeight="1">
      <x:c r="A33" s="83" t="n">
        <x:v>45751</x:v>
      </x:c>
      <x:c r="B33" t="str">
        <x:v>sexta-feira</x:v>
      </x:c>
      <x:c r="C33" s="85" t="n">
        <x:v>0.5444444444444444</x:v>
      </x:c>
      <x:c r="D33" s="85" t="n">
        <x:v>0.6694444444444444</x:v>
      </x:c>
      <x:c r="E33" s="85" t="n">
        <x:v>0.7104166666666667</x:v>
      </x:c>
      <x:c r="F33" s="85" t="n">
        <x:v>0.8875</x:v>
      </x:c>
      <x:c r="G33" t="str">
        <x:f>TEXT(INT(K33/60),"00")&amp;":"&amp;TEXT(MOD(K33,60),"00")</x:f>
        <x:v>07:15</x:v>
      </x:c>
      <x:c r="H33" t="str">
        <x:f>TEXT(INT(L33/60),"00")&amp;":"&amp;TEXT(MOD(L33,60),"00")</x:f>
        <x:v>07:20</x:v>
      </x:c>
      <x:c r="I33" t="str">
        <x:f>IF(N33&gt;0,"+"&amp;TEXT(INT(N33/60),"00")&amp;":"&amp;TEXT(MOD(N33,60),"00"),"00:00")</x:f>
        <x:v>00:00</x:v>
      </x:c>
      <x:c r="J33" t="str">
        <x:f>IF(O33&gt;0,"-"&amp;TEXT(INT(O33/60),"00")&amp;":"&amp;TEXT(MOD(O33,60),"00"),"00:00")</x:f>
        <x:v>-00:05</x:v>
      </x:c>
      <x:c r="K33" t="n">
        <x:f>ROUND((F33-C33-IF(OR(D33="",E33=""),0,E33-D33))*1440,0)</x:f>
        <x:v>435</x:v>
      </x:c>
      <x:c r="L33" t="n">
        <x:v>440</x:v>
      </x:c>
      <x:c r="M33" t="n">
        <x:f>K33-L33</x:f>
        <x:v>-5</x:v>
      </x:c>
      <x:c r="N33" t="n">
        <x:f>MAX(0,M33)</x:f>
        <x:v>0</x:v>
      </x:c>
      <x:c r="O33" t="n">
        <x:f>MAX(0,-M33)</x:f>
        <x:v>5</x:v>
      </x:c>
      <x:c r="P33" t="str">
        <x:v>Ponto registrado — complemento ilustrativo</x:v>
      </x:c>
      <x:c r="Q33" t="str">
        <x:v>Saída da CONFERÊNCIA DE CAIXA; entrada/intervalo simulados</x:v>
      </x:c>
      <x:c r="R33" t="str">
        <x:v>2025-04</x:v>
      </x:c>
    </x:row>
    <x:row r="34" ht="21" customHeight="1">
      <x:c r="A34" s="83" t="n">
        <x:v>45752</x:v>
      </x:c>
      <x:c r="B34" t="str">
        <x:v>sábado</x:v>
      </x:c>
      <x:c r="C34" s="85" t="n">
        <x:v>0.5409722222222222</x:v>
      </x:c>
      <x:c r="D34" s="85"/>
      <x:c r="E34" s="85"/>
      <x:c r="F34" s="85" t="n">
        <x:v>0.7055555555555556</x:v>
      </x:c>
      <x:c r="G34" t="str">
        <x:f>TEXT(INT(K34/60),"00")&amp;":"&amp;TEXT(MOD(K34,60),"00")</x:f>
        <x:v>03:57</x:v>
      </x:c>
      <x:c r="H34" t="str">
        <x:f>TEXT(INT(L34/60),"00")&amp;":"&amp;TEXT(MOD(L34,60),"00")</x:f>
        <x:v>04:00</x:v>
      </x:c>
      <x:c r="I34" t="str">
        <x:f>IF(N34&gt;0,"+"&amp;TEXT(INT(N34/60),"00")&amp;":"&amp;TEXT(MOD(N34,60),"00"),"00:00")</x:f>
        <x:v>00:00</x:v>
      </x:c>
      <x:c r="J34" t="str">
        <x:f>IF(O34&gt;0,"-"&amp;TEXT(INT(O34/60),"00")&amp;":"&amp;TEXT(MOD(O34,60),"00"),"00:00")</x:f>
        <x:v>-00:03</x:v>
      </x:c>
      <x:c r="K34" t="n">
        <x:f>ROUND((F34-C34-IF(OR(D34="",E34=""),0,E34-D34))*1440,0)</x:f>
        <x:v>237</x:v>
      </x:c>
      <x:c r="L34" t="n">
        <x:v>240</x:v>
      </x:c>
      <x:c r="M34" t="n">
        <x:f>K34-L34</x:f>
        <x:v>-3</x:v>
      </x:c>
      <x:c r="N34" t="n">
        <x:f>MAX(0,M34)</x:f>
        <x:v>0</x:v>
      </x:c>
      <x:c r="O34" t="n">
        <x:f>MAX(0,-M34)</x:f>
        <x:v>3</x:v>
      </x:c>
      <x:c r="P34" t="str">
        <x:v>Ponto registrado — complemento ilustrativo</x:v>
      </x:c>
      <x:c r="Q34" t="str">
        <x:v>Saída da CONFERÊNCIA DE CAIXA; entrada/intervalo simulados</x:v>
      </x:c>
      <x:c r="R34" t="str">
        <x:v>2025-04</x:v>
      </x:c>
    </x:row>
    <x:row r="35" ht="21" customHeight="1">
      <x:c r="A35" s="83" t="n">
        <x:v>45754</x:v>
      </x:c>
      <x:c r="B35" t="str">
        <x:v>segunda-feira</x:v>
      </x:c>
      <x:c r="C35" s="85" t="n">
        <x:v>0.5465277777777777</x:v>
      </x:c>
      <x:c r="D35" s="85" t="n">
        <x:v>0.6701388888888888</x:v>
      </x:c>
      <x:c r="E35" s="85" t="n">
        <x:v>0.7138888888888889</x:v>
      </x:c>
      <x:c r="F35" s="85" t="n">
        <x:v>0.8895833333333333</x:v>
      </x:c>
      <x:c r="G35" t="str">
        <x:f>TEXT(INT(K35/60),"00")&amp;":"&amp;TEXT(MOD(K35,60),"00")</x:f>
        <x:v>07:11</x:v>
      </x:c>
      <x:c r="H35" t="str">
        <x:f>TEXT(INT(L35/60),"00")&amp;":"&amp;TEXT(MOD(L35,60),"00")</x:f>
        <x:v>07:20</x:v>
      </x:c>
      <x:c r="I35" t="str">
        <x:f>IF(N35&gt;0,"+"&amp;TEXT(INT(N35/60),"00")&amp;":"&amp;TEXT(MOD(N35,60),"00"),"00:00")</x:f>
        <x:v>00:00</x:v>
      </x:c>
      <x:c r="J35" t="str">
        <x:f>IF(O35&gt;0,"-"&amp;TEXT(INT(O35/60),"00")&amp;":"&amp;TEXT(MOD(O35,60),"00"),"00:00")</x:f>
        <x:v>-00:09</x:v>
      </x:c>
      <x:c r="K35" t="n">
        <x:f>ROUND((F35-C35-IF(OR(D35="",E35=""),0,E35-D35))*1440,0)</x:f>
        <x:v>431</x:v>
      </x:c>
      <x:c r="L35" t="n">
        <x:v>440</x:v>
      </x:c>
      <x:c r="M35" t="n">
        <x:f>K35-L35</x:f>
        <x:v>-9</x:v>
      </x:c>
      <x:c r="N35" t="n">
        <x:f>MAX(0,M35)</x:f>
        <x:v>0</x:v>
      </x:c>
      <x:c r="O35" t="n">
        <x:f>MAX(0,-M35)</x:f>
        <x:v>9</x:v>
      </x:c>
      <x:c r="P35" t="str">
        <x:v>Ponto registrado — complemento ilustrativo</x:v>
      </x:c>
      <x:c r="Q35" t="str">
        <x:v>Saída da CONFERÊNCIA DE CAIXA; entrada/intervalo simulados</x:v>
      </x:c>
      <x:c r="R35" t="str">
        <x:v>2025-04</x:v>
      </x:c>
    </x:row>
    <x:row r="36" ht="21" customHeight="1">
      <x:c r="A36" s="83" t="n">
        <x:v>45755</x:v>
      </x:c>
      <x:c r="B36" t="str">
        <x:v>terça-feira</x:v>
      </x:c>
      <x:c r="C36" s="85" t="n">
        <x:v>0.5444444444444444</x:v>
      </x:c>
      <x:c r="D36" s="85" t="n">
        <x:v>0.68125</x:v>
      </x:c>
      <x:c r="E36" s="85" t="n">
        <x:v>0.7256944444444444</x:v>
      </x:c>
      <x:c r="F36" s="85" t="n">
        <x:v>0.8916666666666667</x:v>
      </x:c>
      <x:c r="G36" t="str">
        <x:f>TEXT(INT(K36/60),"00")&amp;":"&amp;TEXT(MOD(K36,60),"00")</x:f>
        <x:v>07:16</x:v>
      </x:c>
      <x:c r="H36" t="str">
        <x:f>TEXT(INT(L36/60),"00")&amp;":"&amp;TEXT(MOD(L36,60),"00")</x:f>
        <x:v>07:20</x:v>
      </x:c>
      <x:c r="I36" t="str">
        <x:f>IF(N36&gt;0,"+"&amp;TEXT(INT(N36/60),"00")&amp;":"&amp;TEXT(MOD(N36,60),"00"),"00:00")</x:f>
        <x:v>00:00</x:v>
      </x:c>
      <x:c r="J36" t="str">
        <x:f>IF(O36&gt;0,"-"&amp;TEXT(INT(O36/60),"00")&amp;":"&amp;TEXT(MOD(O36,60),"00"),"00:00")</x:f>
        <x:v>-00:04</x:v>
      </x:c>
      <x:c r="K36" t="n">
        <x:f>ROUND((F36-C36-IF(OR(D36="",E36=""),0,E36-D36))*1440,0)</x:f>
        <x:v>436</x:v>
      </x:c>
      <x:c r="L36" t="n">
        <x:v>440</x:v>
      </x:c>
      <x:c r="M36" t="n">
        <x:f>K36-L36</x:f>
        <x:v>-4</x:v>
      </x:c>
      <x:c r="N36" t="n">
        <x:f>MAX(0,M36)</x:f>
        <x:v>0</x:v>
      </x:c>
      <x:c r="O36" t="n">
        <x:f>MAX(0,-M36)</x:f>
        <x:v>4</x:v>
      </x:c>
      <x:c r="P36" t="str">
        <x:v>Ponto registrado — complemento ilustrativo</x:v>
      </x:c>
      <x:c r="Q36" t="str">
        <x:v>Saída da CONFERÊNCIA DE CAIXA; entrada/intervalo simulados</x:v>
      </x:c>
      <x:c r="R36" t="str">
        <x:v>2025-04</x:v>
      </x:c>
    </x:row>
    <x:row r="37" ht="21" customHeight="1">
      <x:c r="A37" s="83" t="n">
        <x:v>45756</x:v>
      </x:c>
      <x:c r="B37" t="str">
        <x:v>quarta-feira</x:v>
      </x:c>
      <x:c r="C37" s="85" t="n">
        <x:v>0.5430555555555555</x:v>
      </x:c>
      <x:c r="D37" s="85" t="n">
        <x:v>0.6840277777777778</x:v>
      </x:c>
      <x:c r="E37" s="85" t="n">
        <x:v>0.7256944444444444</x:v>
      </x:c>
      <x:c r="F37" s="85" t="n">
        <x:v>0.8902777777777777</x:v>
      </x:c>
      <x:c r="G37" t="str">
        <x:f>TEXT(INT(K37/60),"00")&amp;":"&amp;TEXT(MOD(K37,60),"00")</x:f>
        <x:v>07:20</x:v>
      </x:c>
      <x:c r="H37" t="str">
        <x:f>TEXT(INT(L37/60),"00")&amp;":"&amp;TEXT(MOD(L37,60),"00")</x:f>
        <x:v>07:20</x:v>
      </x:c>
      <x:c r="I37" t="str">
        <x:f>IF(N37&gt;0,"+"&amp;TEXT(INT(N37/60),"00")&amp;":"&amp;TEXT(MOD(N37,60),"00"),"00:00")</x:f>
        <x:v>00:00</x:v>
      </x:c>
      <x:c r="J37" t="str">
        <x:f>IF(O37&gt;0,"-"&amp;TEXT(INT(O37/60),"00")&amp;":"&amp;TEXT(MOD(O37,60),"00"),"00:00")</x:f>
        <x:v>00:00</x:v>
      </x:c>
      <x:c r="K37" t="n">
        <x:f>ROUND((F37-C37-IF(OR(D37="",E37=""),0,E37-D37))*1440,0)</x:f>
        <x:v>440</x:v>
      </x:c>
      <x:c r="L37" t="n">
        <x:v>440</x:v>
      </x:c>
      <x:c r="M37" t="n">
        <x:f>K37-L37</x:f>
        <x:v>0</x:v>
      </x:c>
      <x:c r="N37" t="n">
        <x:f>MAX(0,M37)</x:f>
        <x:v>0</x:v>
      </x:c>
      <x:c r="O37" t="n">
        <x:f>MAX(0,-M37)</x:f>
        <x:v>0</x:v>
      </x:c>
      <x:c r="P37" t="str">
        <x:v>Ponto registrado — jornada revisada</x:v>
      </x:c>
      <x:c r="Q37" t="str">
        <x:v>Horários da planilha de jornadas revisada</x:v>
      </x:c>
      <x:c r="R37" t="str">
        <x:v>2025-04</x:v>
      </x:c>
    </x:row>
    <x:row r="38" ht="21" customHeight="1">
      <x:c r="A38" s="83" t="n">
        <x:v>45757</x:v>
      </x:c>
      <x:c r="B38" t="str">
        <x:v>quinta-feira</x:v>
      </x:c>
      <x:c r="C38" s="85" t="n">
        <x:v>0.5465277777777777</x:v>
      </x:c>
      <x:c r="D38" s="85" t="n">
        <x:v>0.6784722222222223</x:v>
      </x:c>
      <x:c r="E38" s="85" t="n">
        <x:v>0.7173611111111111</x:v>
      </x:c>
      <x:c r="F38" s="85" t="n">
        <x:v>0.8895833333333333</x:v>
      </x:c>
      <x:c r="G38" t="str">
        <x:f>TEXT(INT(K38/60),"00")&amp;":"&amp;TEXT(MOD(K38,60),"00")</x:f>
        <x:v>07:18</x:v>
      </x:c>
      <x:c r="H38" t="str">
        <x:f>TEXT(INT(L38/60),"00")&amp;":"&amp;TEXT(MOD(L38,60),"00")</x:f>
        <x:v>07:20</x:v>
      </x:c>
      <x:c r="I38" t="str">
        <x:f>IF(N38&gt;0,"+"&amp;TEXT(INT(N38/60),"00")&amp;":"&amp;TEXT(MOD(N38,60),"00"),"00:00")</x:f>
        <x:v>00:00</x:v>
      </x:c>
      <x:c r="J38" t="str">
        <x:f>IF(O38&gt;0,"-"&amp;TEXT(INT(O38/60),"00")&amp;":"&amp;TEXT(MOD(O38,60),"00"),"00:00")</x:f>
        <x:v>-00:02</x:v>
      </x:c>
      <x:c r="K38" t="n">
        <x:f>ROUND((F38-C38-IF(OR(D38="",E38=""),0,E38-D38))*1440,0)</x:f>
        <x:v>438</x:v>
      </x:c>
      <x:c r="L38" t="n">
        <x:v>440</x:v>
      </x:c>
      <x:c r="M38" t="n">
        <x:f>K38-L38</x:f>
        <x:v>-2</x:v>
      </x:c>
      <x:c r="N38" t="n">
        <x:f>MAX(0,M38)</x:f>
        <x:v>0</x:v>
      </x:c>
      <x:c r="O38" t="n">
        <x:f>MAX(0,-M38)</x:f>
        <x:v>2</x:v>
      </x:c>
      <x:c r="P38" t="str">
        <x:v>Ponto registrado — complemento ilustrativo</x:v>
      </x:c>
      <x:c r="Q38" t="str">
        <x:v>Saída da CONFERÊNCIA DE CAIXA; entrada/intervalo simulados</x:v>
      </x:c>
      <x:c r="R38" t="str">
        <x:v>2025-04</x:v>
      </x:c>
    </x:row>
    <x:row r="39" ht="21" customHeight="1">
      <x:c r="A39" s="83" t="n">
        <x:v>45758</x:v>
      </x:c>
      <x:c r="B39" t="str">
        <x:v>sexta-feira</x:v>
      </x:c>
      <x:c r="C39" s="85" t="n">
        <x:v>0.5430555555555555</x:v>
      </x:c>
      <x:c r="D39" s="85" t="n">
        <x:v>0.6694444444444444</x:v>
      </x:c>
      <x:c r="E39" s="85" t="n">
        <x:v>0.7104166666666667</x:v>
      </x:c>
      <x:c r="F39" s="85" t="n">
        <x:v>0.8909722222222223</x:v>
      </x:c>
      <x:c r="G39" t="str">
        <x:f>TEXT(INT(K39/60),"00")&amp;":"&amp;TEXT(MOD(K39,60),"00")</x:f>
        <x:v>07:22</x:v>
      </x:c>
      <x:c r="H39" t="str">
        <x:f>TEXT(INT(L39/60),"00")&amp;":"&amp;TEXT(MOD(L39,60),"00")</x:f>
        <x:v>07:20</x:v>
      </x:c>
      <x:c r="I39" t="str">
        <x:f>IF(N39&gt;0,"+"&amp;TEXT(INT(N39/60),"00")&amp;":"&amp;TEXT(MOD(N39,60),"00"),"00:00")</x:f>
        <x:v>+00:02</x:v>
      </x:c>
      <x:c r="J39" t="str">
        <x:f>IF(O39&gt;0,"-"&amp;TEXT(INT(O39/60),"00")&amp;":"&amp;TEXT(MOD(O39,60),"00"),"00:00")</x:f>
        <x:v>00:00</x:v>
      </x:c>
      <x:c r="K39" t="n">
        <x:f>ROUND((F39-C39-IF(OR(D39="",E39=""),0,E39-D39))*1440,0)</x:f>
        <x:v>442</x:v>
      </x:c>
      <x:c r="L39" t="n">
        <x:v>440</x:v>
      </x:c>
      <x:c r="M39" t="n">
        <x:f>K39-L39</x:f>
        <x:v>2</x:v>
      </x:c>
      <x:c r="N39" t="n">
        <x:f>MAX(0,M39)</x:f>
        <x:v>2</x:v>
      </x:c>
      <x:c r="O39" t="n">
        <x:f>MAX(0,-M39)</x:f>
        <x:v>0</x:v>
      </x:c>
      <x:c r="P39" t="str">
        <x:v>Ponto registrado — complemento ilustrativo</x:v>
      </x:c>
      <x:c r="Q39" t="str">
        <x:v>Saída da CONFERÊNCIA DE CAIXA; entrada/intervalo simulados</x:v>
      </x:c>
      <x:c r="R39" t="str">
        <x:v>2025-04</x:v>
      </x:c>
    </x:row>
    <x:row r="40" ht="21" customHeight="1">
      <x:c r="A40" s="83" t="n">
        <x:v>45759</x:v>
      </x:c>
      <x:c r="B40" t="str">
        <x:v>sábado</x:v>
      </x:c>
      <x:c r="C40" s="85" t="n">
        <x:v>0.5388888888888889</x:v>
      </x:c>
      <x:c r="D40" s="85"/>
      <x:c r="E40" s="85"/>
      <x:c r="F40" s="85" t="n">
        <x:v>0.7069444444444445</x:v>
      </x:c>
      <x:c r="G40" t="str">
        <x:f>TEXT(INT(K40/60),"00")&amp;":"&amp;TEXT(MOD(K40,60),"00")</x:f>
        <x:v>04:02</x:v>
      </x:c>
      <x:c r="H40" t="str">
        <x:f>TEXT(INT(L40/60),"00")&amp;":"&amp;TEXT(MOD(L40,60),"00")</x:f>
        <x:v>04:00</x:v>
      </x:c>
      <x:c r="I40" t="str">
        <x:f>IF(N40&gt;0,"+"&amp;TEXT(INT(N40/60),"00")&amp;":"&amp;TEXT(MOD(N40,60),"00"),"00:00")</x:f>
        <x:v>+00:02</x:v>
      </x:c>
      <x:c r="J40" t="str">
        <x:f>IF(O40&gt;0,"-"&amp;TEXT(INT(O40/60),"00")&amp;":"&amp;TEXT(MOD(O40,60),"00"),"00:00")</x:f>
        <x:v>00:00</x:v>
      </x:c>
      <x:c r="K40" t="n">
        <x:f>ROUND((F40-C40-IF(OR(D40="",E40=""),0,E40-D40))*1440,0)</x:f>
        <x:v>242</x:v>
      </x:c>
      <x:c r="L40" t="n">
        <x:v>240</x:v>
      </x:c>
      <x:c r="M40" t="n">
        <x:f>K40-L40</x:f>
        <x:v>2</x:v>
      </x:c>
      <x:c r="N40" t="n">
        <x:f>MAX(0,M40)</x:f>
        <x:v>2</x:v>
      </x:c>
      <x:c r="O40" t="n">
        <x:f>MAX(0,-M40)</x:f>
        <x:v>0</x:v>
      </x:c>
      <x:c r="P40" t="str">
        <x:v>Ponto registrado — complemento ilustrativo</x:v>
      </x:c>
      <x:c r="Q40" t="str">
        <x:v>Saída da CONFERÊNCIA DE CAIXA; entrada/intervalo simulados</x:v>
      </x:c>
      <x:c r="R40" t="str">
        <x:v>2025-04</x:v>
      </x:c>
    </x:row>
    <x:row r="41" ht="21" customHeight="1">
      <x:c r="A41" s="83" t="n">
        <x:v>45761</x:v>
      </x:c>
      <x:c r="B41" t="str">
        <x:v>segunda-feira</x:v>
      </x:c>
      <x:c r="C41" s="85" t="n">
        <x:v>0.5430555555555555</x:v>
      </x:c>
      <x:c r="D41" s="85" t="n">
        <x:v>0.6791666666666667</x:v>
      </x:c>
      <x:c r="E41" s="85" t="n">
        <x:v>0.7201388888888889</x:v>
      </x:c>
      <x:c r="F41" s="85" t="n">
        <x:v>0.8881944444444444</x:v>
      </x:c>
      <x:c r="G41" t="str">
        <x:f>TEXT(INT(K41/60),"00")&amp;":"&amp;TEXT(MOD(K41,60),"00")</x:f>
        <x:v>07:18</x:v>
      </x:c>
      <x:c r="H41" t="str">
        <x:f>TEXT(INT(L41/60),"00")&amp;":"&amp;TEXT(MOD(L41,60),"00")</x:f>
        <x:v>07:20</x:v>
      </x:c>
      <x:c r="I41" t="str">
        <x:f>IF(N41&gt;0,"+"&amp;TEXT(INT(N41/60),"00")&amp;":"&amp;TEXT(MOD(N41,60),"00"),"00:00")</x:f>
        <x:v>00:00</x:v>
      </x:c>
      <x:c r="J41" t="str">
        <x:f>IF(O41&gt;0,"-"&amp;TEXT(INT(O41/60),"00")&amp;":"&amp;TEXT(MOD(O41,60),"00"),"00:00")</x:f>
        <x:v>-00:02</x:v>
      </x:c>
      <x:c r="K41" t="n">
        <x:f>ROUND((F41-C41-IF(OR(D41="",E41=""),0,E41-D41))*1440,0)</x:f>
        <x:v>438</x:v>
      </x:c>
      <x:c r="L41" t="n">
        <x:v>440</x:v>
      </x:c>
      <x:c r="M41" t="n">
        <x:f>K41-L41</x:f>
        <x:v>-2</x:v>
      </x:c>
      <x:c r="N41" t="n">
        <x:f>MAX(0,M41)</x:f>
        <x:v>0</x:v>
      </x:c>
      <x:c r="O41" t="n">
        <x:f>MAX(0,-M41)</x:f>
        <x:v>2</x:v>
      </x:c>
      <x:c r="P41" t="str">
        <x:v>Ponto registrado — complemento ilustrativo</x:v>
      </x:c>
      <x:c r="Q41" t="str">
        <x:v>Saída da CONFERÊNCIA DE CAIXA; entrada/intervalo simulados</x:v>
      </x:c>
      <x:c r="R41" t="str">
        <x:v>2025-04</x:v>
      </x:c>
    </x:row>
    <x:row r="42" ht="21" customHeight="1">
      <x:c r="A42" s="83" t="n">
        <x:v>45762</x:v>
      </x:c>
      <x:c r="B42" t="str">
        <x:v>terça-feira</x:v>
      </x:c>
      <x:c r="C42" s="85" t="n">
        <x:v>0.5409722222222222</x:v>
      </x:c>
      <x:c r="D42" s="85" t="n">
        <x:v>0.6736111111111112</x:v>
      </x:c>
      <x:c r="E42" s="85" t="n">
        <x:v>0.7131944444444445</x:v>
      </x:c>
      <x:c r="F42" s="85" t="n">
        <x:v>0.8895833333333333</x:v>
      </x:c>
      <x:c r="G42" t="str">
        <x:f>TEXT(INT(K42/60),"00")&amp;":"&amp;TEXT(MOD(K42,60),"00")</x:f>
        <x:v>07:25</x:v>
      </x:c>
      <x:c r="H42" t="str">
        <x:f>TEXT(INT(L42/60),"00")&amp;":"&amp;TEXT(MOD(L42,60),"00")</x:f>
        <x:v>07:20</x:v>
      </x:c>
      <x:c r="I42" t="str">
        <x:f>IF(N42&gt;0,"+"&amp;TEXT(INT(N42/60),"00")&amp;":"&amp;TEXT(MOD(N42,60),"00"),"00:00")</x:f>
        <x:v>+00:05</x:v>
      </x:c>
      <x:c r="J42" t="str">
        <x:f>IF(O42&gt;0,"-"&amp;TEXT(INT(O42/60),"00")&amp;":"&amp;TEXT(MOD(O42,60),"00"),"00:00")</x:f>
        <x:v>00:00</x:v>
      </x:c>
      <x:c r="K42" t="n">
        <x:f>ROUND((F42-C42-IF(OR(D42="",E42=""),0,E42-D42))*1440,0)</x:f>
        <x:v>445</x:v>
      </x:c>
      <x:c r="L42" t="n">
        <x:v>440</x:v>
      </x:c>
      <x:c r="M42" t="n">
        <x:f>K42-L42</x:f>
        <x:v>5</x:v>
      </x:c>
      <x:c r="N42" t="n">
        <x:f>MAX(0,M42)</x:f>
        <x:v>5</x:v>
      </x:c>
      <x:c r="O42" t="n">
        <x:f>MAX(0,-M42)</x:f>
        <x:v>0</x:v>
      </x:c>
      <x:c r="P42" t="str">
        <x:v>Ponto registrado — complemento ilustrativo</x:v>
      </x:c>
      <x:c r="Q42" t="str">
        <x:v>Saída da CONFERÊNCIA DE CAIXA; entrada/intervalo simulados</x:v>
      </x:c>
      <x:c r="R42" t="str">
        <x:v>2025-04</x:v>
      </x:c>
    </x:row>
    <x:row r="43" ht="21" customHeight="1">
      <x:c r="A43" s="83" t="n">
        <x:v>45763</x:v>
      </x:c>
      <x:c r="B43" t="str">
        <x:v>quarta-feira</x:v>
      </x:c>
      <x:c r="C43" s="85" t="n">
        <x:v>0.5409722222222222</x:v>
      </x:c>
      <x:c r="D43" s="85" t="n">
        <x:v>0.6694444444444444</x:v>
      </x:c>
      <x:c r="E43" s="85" t="n">
        <x:v>0.7083333333333334</x:v>
      </x:c>
      <x:c r="F43" s="85" t="n">
        <x:v>0.8902777777777777</x:v>
      </x:c>
      <x:c r="G43" t="str">
        <x:f>TEXT(INT(K43/60),"00")&amp;":"&amp;TEXT(MOD(K43,60),"00")</x:f>
        <x:v>07:27</x:v>
      </x:c>
      <x:c r="H43" t="str">
        <x:f>TEXT(INT(L43/60),"00")&amp;":"&amp;TEXT(MOD(L43,60),"00")</x:f>
        <x:v>07:20</x:v>
      </x:c>
      <x:c r="I43" t="str">
        <x:f>IF(N43&gt;0,"+"&amp;TEXT(INT(N43/60),"00")&amp;":"&amp;TEXT(MOD(N43,60),"00"),"00:00")</x:f>
        <x:v>+00:07</x:v>
      </x:c>
      <x:c r="J43" t="str">
        <x:f>IF(O43&gt;0,"-"&amp;TEXT(INT(O43/60),"00")&amp;":"&amp;TEXT(MOD(O43,60),"00"),"00:00")</x:f>
        <x:v>00:00</x:v>
      </x:c>
      <x:c r="K43" t="n">
        <x:f>ROUND((F43-C43-IF(OR(D43="",E43=""),0,E43-D43))*1440,0)</x:f>
        <x:v>447</x:v>
      </x:c>
      <x:c r="L43" t="n">
        <x:v>440</x:v>
      </x:c>
      <x:c r="M43" t="n">
        <x:f>K43-L43</x:f>
        <x:v>7</x:v>
      </x:c>
      <x:c r="N43" t="n">
        <x:f>MAX(0,M43)</x:f>
        <x:v>7</x:v>
      </x:c>
      <x:c r="O43" t="n">
        <x:f>MAX(0,-M43)</x:f>
        <x:v>0</x:v>
      </x:c>
      <x:c r="P43" t="str">
        <x:v>Ponto registrado — complemento ilustrativo</x:v>
      </x:c>
      <x:c r="Q43" t="str">
        <x:v>Saída da CONFERÊNCIA DE CAIXA; entrada/intervalo simulados</x:v>
      </x:c>
      <x:c r="R43" t="str">
        <x:v>2025-04</x:v>
      </x:c>
    </x:row>
    <x:row r="44" ht="21" customHeight="1">
      <x:c r="A44" s="83" t="n">
        <x:v>45764</x:v>
      </x:c>
      <x:c r="B44" t="str">
        <x:v>quinta-feira</x:v>
      </x:c>
      <x:c r="C44" s="85" t="n">
        <x:v>0.5465277777777777</x:v>
      </x:c>
      <x:c r="D44" s="85" t="n">
        <x:v>0.6805555555555556</x:v>
      </x:c>
      <x:c r="E44" s="85" t="n">
        <x:v>0.7208333333333333</x:v>
      </x:c>
      <x:c r="F44" s="85" t="n">
        <x:v>0.8902777777777777</x:v>
      </x:c>
      <x:c r="G44" t="str">
        <x:f>TEXT(INT(K44/60),"00")&amp;":"&amp;TEXT(MOD(K44,60),"00")</x:f>
        <x:v>07:17</x:v>
      </x:c>
      <x:c r="H44" t="str">
        <x:f>TEXT(INT(L44/60),"00")&amp;":"&amp;TEXT(MOD(L44,60),"00")</x:f>
        <x:v>07:20</x:v>
      </x:c>
      <x:c r="I44" t="str">
        <x:f>IF(N44&gt;0,"+"&amp;TEXT(INT(N44/60),"00")&amp;":"&amp;TEXT(MOD(N44,60),"00"),"00:00")</x:f>
        <x:v>00:00</x:v>
      </x:c>
      <x:c r="J44" t="str">
        <x:f>IF(O44&gt;0,"-"&amp;TEXT(INT(O44/60),"00")&amp;":"&amp;TEXT(MOD(O44,60),"00"),"00:00")</x:f>
        <x:v>-00:03</x:v>
      </x:c>
      <x:c r="K44" t="n">
        <x:f>ROUND((F44-C44-IF(OR(D44="",E44=""),0,E44-D44))*1440,0)</x:f>
        <x:v>437</x:v>
      </x:c>
      <x:c r="L44" t="n">
        <x:v>440</x:v>
      </x:c>
      <x:c r="M44" t="n">
        <x:f>K44-L44</x:f>
        <x:v>-3</x:v>
      </x:c>
      <x:c r="N44" t="n">
        <x:f>MAX(0,M44)</x:f>
        <x:v>0</x:v>
      </x:c>
      <x:c r="O44" t="n">
        <x:f>MAX(0,-M44)</x:f>
        <x:v>3</x:v>
      </x:c>
      <x:c r="P44" t="str">
        <x:v>Ponto registrado — jornada revisada</x:v>
      </x:c>
      <x:c r="Q44" t="str">
        <x:v>Horários da planilha de jornadas revisada</x:v>
      </x:c>
      <x:c r="R44" t="str">
        <x:v>2025-04</x:v>
      </x:c>
    </x:row>
    <x:row r="45" ht="21" customHeight="1">
      <x:c r="A45" s="83" t="n">
        <x:v>45765</x:v>
      </x:c>
      <x:c r="B45" t="str">
        <x:v>sexta-feira</x:v>
      </x:c>
      <x:c r="C45" s="85" t="n">
        <x:v>0.5375</x:v>
      </x:c>
      <x:c r="D45" s="85" t="n">
        <x:v>0.6770833333333334</x:v>
      </x:c>
      <x:c r="E45" s="85" t="n">
        <x:v>0.7173611111111111</x:v>
      </x:c>
      <x:c r="F45" s="85" t="n">
        <x:v>0.8909722222222223</x:v>
      </x:c>
      <x:c r="G45" t="str">
        <x:f>TEXT(INT(K45/60),"00")&amp;":"&amp;TEXT(MOD(K45,60),"00")</x:f>
        <x:v>07:31</x:v>
      </x:c>
      <x:c r="H45" t="str">
        <x:f>TEXT(INT(L45/60),"00")&amp;":"&amp;TEXT(MOD(L45,60),"00")</x:f>
        <x:v>07:20</x:v>
      </x:c>
      <x:c r="I45" t="str">
        <x:f>IF(N45&gt;0,"+"&amp;TEXT(INT(N45/60),"00")&amp;":"&amp;TEXT(MOD(N45,60),"00"),"00:00")</x:f>
        <x:v>+00:11</x:v>
      </x:c>
      <x:c r="J45" t="str">
        <x:f>IF(O45&gt;0,"-"&amp;TEXT(INT(O45/60),"00")&amp;":"&amp;TEXT(MOD(O45,60),"00"),"00:00")</x:f>
        <x:v>00:00</x:v>
      </x:c>
      <x:c r="K45" t="n">
        <x:f>ROUND((F45-C45-IF(OR(D45="",E45=""),0,E45-D45))*1440,0)</x:f>
        <x:v>451</x:v>
      </x:c>
      <x:c r="L45" t="n">
        <x:v>440</x:v>
      </x:c>
      <x:c r="M45" t="n">
        <x:f>K45-L45</x:f>
        <x:v>11</x:v>
      </x:c>
      <x:c r="N45" t="n">
        <x:f>MAX(0,M45)</x:f>
        <x:v>11</x:v>
      </x:c>
      <x:c r="O45" t="n">
        <x:f>MAX(0,-M45)</x:f>
        <x:v>0</x:v>
      </x:c>
      <x:c r="P45" t="str">
        <x:v>Ponto registrado — complemento ilustrativo</x:v>
      </x:c>
      <x:c r="Q45" t="str">
        <x:v>Saída da CONFERÊNCIA DE CAIXA; entrada/intervalo simulados</x:v>
      </x:c>
      <x:c r="R45" t="str">
        <x:v>2025-04</x:v>
      </x:c>
    </x:row>
    <x:row r="46" ht="21" customHeight="1">
      <x:c r="A46" s="83" t="n">
        <x:v>45766</x:v>
      </x:c>
      <x:c r="B46" t="str">
        <x:v>sábado</x:v>
      </x:c>
      <x:c r="C46" s="85" t="n">
        <x:v>0.5458333333333333</x:v>
      </x:c>
      <x:c r="D46" s="85"/>
      <x:c r="E46" s="85"/>
      <x:c r="F46" s="85" t="n">
        <x:v>0.7034722222222223</x:v>
      </x:c>
      <x:c r="G46" t="str">
        <x:f>TEXT(INT(K46/60),"00")&amp;":"&amp;TEXT(MOD(K46,60),"00")</x:f>
        <x:v>03:47</x:v>
      </x:c>
      <x:c r="H46" t="str">
        <x:f>TEXT(INT(L46/60),"00")&amp;":"&amp;TEXT(MOD(L46,60),"00")</x:f>
        <x:v>04:00</x:v>
      </x:c>
      <x:c r="I46" t="str">
        <x:f>IF(N46&gt;0,"+"&amp;TEXT(INT(N46/60),"00")&amp;":"&amp;TEXT(MOD(N46,60),"00"),"00:00")</x:f>
        <x:v>00:00</x:v>
      </x:c>
      <x:c r="J46" t="str">
        <x:f>IF(O46&gt;0,"-"&amp;TEXT(INT(O46/60),"00")&amp;":"&amp;TEXT(MOD(O46,60),"00"),"00:00")</x:f>
        <x:v>-00:13</x:v>
      </x:c>
      <x:c r="K46" t="n">
        <x:f>ROUND((F46-C46-IF(OR(D46="",E46=""),0,E46-D46))*1440,0)</x:f>
        <x:v>227</x:v>
      </x:c>
      <x:c r="L46" t="n">
        <x:v>240</x:v>
      </x:c>
      <x:c r="M46" t="n">
        <x:f>K46-L46</x:f>
        <x:v>-13</x:v>
      </x:c>
      <x:c r="N46" t="n">
        <x:f>MAX(0,M46)</x:f>
        <x:v>0</x:v>
      </x:c>
      <x:c r="O46" t="n">
        <x:f>MAX(0,-M46)</x:f>
        <x:v>13</x:v>
      </x:c>
      <x:c r="P46" t="str">
        <x:v>Ponto registrado — complemento ilustrativo</x:v>
      </x:c>
      <x:c r="Q46" t="str">
        <x:v>Saída da CONFERÊNCIA DE CAIXA; entrada/intervalo simulados</x:v>
      </x:c>
      <x:c r="R46" t="str">
        <x:v>2025-04</x:v>
      </x:c>
    </x:row>
    <x:row r="47" ht="21" customHeight="1">
      <x:c r="A47" s="83" t="n">
        <x:v>45768</x:v>
      </x:c>
      <x:c r="B47" t="str">
        <x:v>segunda-feira</x:v>
      </x:c>
      <x:c r="C47" s="85" t="n">
        <x:v>0.5388888888888889</x:v>
      </x:c>
      <x:c r="D47" s="85" t="n">
        <x:v>0.6715277777777777</x:v>
      </x:c>
      <x:c r="E47" s="85" t="n">
        <x:v>0.7152777777777778</x:v>
      </x:c>
      <x:c r="F47" s="85" t="n">
        <x:v>0.8902777777777777</x:v>
      </x:c>
      <x:c r="G47" t="str">
        <x:f>TEXT(INT(K47/60),"00")&amp;":"&amp;TEXT(MOD(K47,60),"00")</x:f>
        <x:v>07:23</x:v>
      </x:c>
      <x:c r="H47" t="str">
        <x:f>TEXT(INT(L47/60),"00")&amp;":"&amp;TEXT(MOD(L47,60),"00")</x:f>
        <x:v>07:20</x:v>
      </x:c>
      <x:c r="I47" t="str">
        <x:f>IF(N47&gt;0,"+"&amp;TEXT(INT(N47/60),"00")&amp;":"&amp;TEXT(MOD(N47,60),"00"),"00:00")</x:f>
        <x:v>+00:03</x:v>
      </x:c>
      <x:c r="J47" t="str">
        <x:f>IF(O47&gt;0,"-"&amp;TEXT(INT(O47/60),"00")&amp;":"&amp;TEXT(MOD(O47,60),"00"),"00:00")</x:f>
        <x:v>00:00</x:v>
      </x:c>
      <x:c r="K47" t="n">
        <x:f>ROUND((F47-C47-IF(OR(D47="",E47=""),0,E47-D47))*1440,0)</x:f>
        <x:v>443</x:v>
      </x:c>
      <x:c r="L47" t="n">
        <x:v>440</x:v>
      </x:c>
      <x:c r="M47" t="n">
        <x:f>K47-L47</x:f>
        <x:v>3</x:v>
      </x:c>
      <x:c r="N47" t="n">
        <x:f>MAX(0,M47)</x:f>
        <x:v>3</x:v>
      </x:c>
      <x:c r="O47" t="n">
        <x:f>MAX(0,-M47)</x:f>
        <x:v>0</x:v>
      </x:c>
      <x:c r="P47" t="str">
        <x:v>Ponto registrado — complemento ilustrativo</x:v>
      </x:c>
      <x:c r="Q47" t="str">
        <x:v>Saída da CONFERÊNCIA DE CAIXA; entrada/intervalo simulados</x:v>
      </x:c>
      <x:c r="R47" t="str">
        <x:v>2025-04</x:v>
      </x:c>
    </x:row>
    <x:row r="48" ht="21" customHeight="1">
      <x:c r="A48" s="83" t="n">
        <x:v>45769</x:v>
      </x:c>
      <x:c r="B48" t="str">
        <x:v>terça-feira</x:v>
      </x:c>
      <x:c r="C48" s="85" t="n">
        <x:v>0.5465277777777777</x:v>
      </x:c>
      <x:c r="D48" s="85" t="n">
        <x:v>0.6694444444444444</x:v>
      </x:c>
      <x:c r="E48" s="85" t="n">
        <x:v>0.7118055555555556</x:v>
      </x:c>
      <x:c r="F48" s="85" t="n">
        <x:v>0.8895833333333333</x:v>
      </x:c>
      <x:c r="G48" t="str">
        <x:f>TEXT(INT(K48/60),"00")&amp;":"&amp;TEXT(MOD(K48,60),"00")</x:f>
        <x:v>07:13</x:v>
      </x:c>
      <x:c r="H48" t="str">
        <x:f>TEXT(INT(L48/60),"00")&amp;":"&amp;TEXT(MOD(L48,60),"00")</x:f>
        <x:v>07:20</x:v>
      </x:c>
      <x:c r="I48" t="str">
        <x:f>IF(N48&gt;0,"+"&amp;TEXT(INT(N48/60),"00")&amp;":"&amp;TEXT(MOD(N48,60),"00"),"00:00")</x:f>
        <x:v>00:00</x:v>
      </x:c>
      <x:c r="J48" t="str">
        <x:f>IF(O48&gt;0,"-"&amp;TEXT(INT(O48/60),"00")&amp;":"&amp;TEXT(MOD(O48,60),"00"),"00:00")</x:f>
        <x:v>-00:07</x:v>
      </x:c>
      <x:c r="K48" t="n">
        <x:f>ROUND((F48-C48-IF(OR(D48="",E48=""),0,E48-D48))*1440,0)</x:f>
        <x:v>433</x:v>
      </x:c>
      <x:c r="L48" t="n">
        <x:v>440</x:v>
      </x:c>
      <x:c r="M48" t="n">
        <x:f>K48-L48</x:f>
        <x:v>-7</x:v>
      </x:c>
      <x:c r="N48" t="n">
        <x:f>MAX(0,M48)</x:f>
        <x:v>0</x:v>
      </x:c>
      <x:c r="O48" t="n">
        <x:f>MAX(0,-M48)</x:f>
        <x:v>7</x:v>
      </x:c>
      <x:c r="P48" t="str">
        <x:v>Ponto registrado — complemento ilustrativo</x:v>
      </x:c>
      <x:c r="Q48" t="str">
        <x:v>Saída da CONFERÊNCIA DE CAIXA; entrada/intervalo simulados</x:v>
      </x:c>
      <x:c r="R48" t="str">
        <x:v>2025-04</x:v>
      </x:c>
    </x:row>
    <x:row r="49" ht="21" customHeight="1">
      <x:c r="A49" s="83" t="n">
        <x:v>45770</x:v>
      </x:c>
      <x:c r="B49" t="str">
        <x:v>quarta-feira</x:v>
      </x:c>
      <x:c r="C49" s="85" t="n">
        <x:v>0.5416666666666666</x:v>
      </x:c>
      <x:c r="D49" s="85" t="n">
        <x:v>0.6666666666666666</x:v>
      </x:c>
      <x:c r="E49" s="85" t="n">
        <x:v>0.7083333333333334</x:v>
      </x:c>
      <x:c r="F49" s="85" t="n">
        <x:v>0.8895833333333333</x:v>
      </x:c>
      <x:c r="G49" t="str">
        <x:f>TEXT(INT(K49/60),"00")&amp;":"&amp;TEXT(MOD(K49,60),"00")</x:f>
        <x:v>07:21</x:v>
      </x:c>
      <x:c r="H49" t="str">
        <x:f>TEXT(INT(L49/60),"00")&amp;":"&amp;TEXT(MOD(L49,60),"00")</x:f>
        <x:v>07:20</x:v>
      </x:c>
      <x:c r="I49" t="str">
        <x:f>IF(N49&gt;0,"+"&amp;TEXT(INT(N49/60),"00")&amp;":"&amp;TEXT(MOD(N49,60),"00"),"00:00")</x:f>
        <x:v>+00:01</x:v>
      </x:c>
      <x:c r="J49" t="str">
        <x:f>IF(O49&gt;0,"-"&amp;TEXT(INT(O49/60),"00")&amp;":"&amp;TEXT(MOD(O49,60),"00"),"00:00")</x:f>
        <x:v>00:00</x:v>
      </x:c>
      <x:c r="K49" t="n">
        <x:f>ROUND((F49-C49-IF(OR(D49="",E49=""),0,E49-D49))*1440,0)</x:f>
        <x:v>441</x:v>
      </x:c>
      <x:c r="L49" t="n">
        <x:v>440</x:v>
      </x:c>
      <x:c r="M49" t="n">
        <x:f>K49-L49</x:f>
        <x:v>1</x:v>
      </x:c>
      <x:c r="N49" t="n">
        <x:f>MAX(0,M49)</x:f>
        <x:v>1</x:v>
      </x:c>
      <x:c r="O49" t="n">
        <x:f>MAX(0,-M49)</x:f>
        <x:v>0</x:v>
      </x:c>
      <x:c r="P49" t="str">
        <x:v>Ponto registrado — jornada revisada</x:v>
      </x:c>
      <x:c r="Q49" t="str">
        <x:v>Horários da planilha de jornadas revisada</x:v>
      </x:c>
      <x:c r="R49" t="str">
        <x:v>2025-04</x:v>
      </x:c>
    </x:row>
    <x:row r="50" ht="21" customHeight="1">
      <x:c r="A50" s="83" t="n">
        <x:v>45771</x:v>
      </x:c>
      <x:c r="B50" t="str">
        <x:v>quinta-feira</x:v>
      </x:c>
      <x:c r="C50" s="85" t="n">
        <x:v>0.5375</x:v>
      </x:c>
      <x:c r="D50" s="85" t="n">
        <x:v>0.6777777777777778</x:v>
      </x:c>
      <x:c r="E50" s="85" t="n">
        <x:v>0.7180555555555556</x:v>
      </x:c>
      <x:c r="F50" s="85" t="n">
        <x:v>0.8902777777777777</x:v>
      </x:c>
      <x:c r="G50" t="str">
        <x:f>TEXT(INT(K50/60),"00")&amp;":"&amp;TEXT(MOD(K50,60),"00")</x:f>
        <x:v>07:30</x:v>
      </x:c>
      <x:c r="H50" t="str">
        <x:f>TEXT(INT(L50/60),"00")&amp;":"&amp;TEXT(MOD(L50,60),"00")</x:f>
        <x:v>07:20</x:v>
      </x:c>
      <x:c r="I50" t="str">
        <x:f>IF(N50&gt;0,"+"&amp;TEXT(INT(N50/60),"00")&amp;":"&amp;TEXT(MOD(N50,60),"00"),"00:00")</x:f>
        <x:v>+00:10</x:v>
      </x:c>
      <x:c r="J50" t="str">
        <x:f>IF(O50&gt;0,"-"&amp;TEXT(INT(O50/60),"00")&amp;":"&amp;TEXT(MOD(O50,60),"00"),"00:00")</x:f>
        <x:v>00:00</x:v>
      </x:c>
      <x:c r="K50" t="n">
        <x:f>ROUND((F50-C50-IF(OR(D50="",E50=""),0,E50-D50))*1440,0)</x:f>
        <x:v>450</x:v>
      </x:c>
      <x:c r="L50" t="n">
        <x:v>440</x:v>
      </x:c>
      <x:c r="M50" t="n">
        <x:f>K50-L50</x:f>
        <x:v>10</x:v>
      </x:c>
      <x:c r="N50" t="n">
        <x:f>MAX(0,M50)</x:f>
        <x:v>10</x:v>
      </x:c>
      <x:c r="O50" t="n">
        <x:f>MAX(0,-M50)</x:f>
        <x:v>0</x:v>
      </x:c>
      <x:c r="P50" t="str">
        <x:v>Ponto registrado — complemento ilustrativo</x:v>
      </x:c>
      <x:c r="Q50" t="str">
        <x:v>Saída da CONFERÊNCIA DE CAIXA; entrada/intervalo simulados</x:v>
      </x:c>
      <x:c r="R50" t="str">
        <x:v>2025-04</x:v>
      </x:c>
    </x:row>
    <x:row r="51" ht="21" customHeight="1">
      <x:c r="A51" s="83" t="n">
        <x:v>45772</x:v>
      </x:c>
      <x:c r="B51" t="str">
        <x:v>sexta-feira</x:v>
      </x:c>
      <x:c r="C51" s="85" t="n">
        <x:v>0.5395833333333333</x:v>
      </x:c>
      <x:c r="D51" s="85" t="n">
        <x:v>0.6673611111111111</x:v>
      </x:c>
      <x:c r="E51" s="85" t="n">
        <x:v>0.7069444444444445</x:v>
      </x:c>
      <x:c r="F51" s="85" t="n">
        <x:v>0.8888888888888888</x:v>
      </x:c>
      <x:c r="G51" t="str">
        <x:f>TEXT(INT(K51/60),"00")&amp;":"&amp;TEXT(MOD(K51,60),"00")</x:f>
        <x:v>07:26</x:v>
      </x:c>
      <x:c r="H51" t="str">
        <x:f>TEXT(INT(L51/60),"00")&amp;":"&amp;TEXT(MOD(L51,60),"00")</x:f>
        <x:v>07:20</x:v>
      </x:c>
      <x:c r="I51" t="str">
        <x:f>IF(N51&gt;0,"+"&amp;TEXT(INT(N51/60),"00")&amp;":"&amp;TEXT(MOD(N51,60),"00"),"00:00")</x:f>
        <x:v>+00:06</x:v>
      </x:c>
      <x:c r="J51" t="str">
        <x:f>IF(O51&gt;0,"-"&amp;TEXT(INT(O51/60),"00")&amp;":"&amp;TEXT(MOD(O51,60),"00"),"00:00")</x:f>
        <x:v>00:00</x:v>
      </x:c>
      <x:c r="K51" t="n">
        <x:f>ROUND((F51-C51-IF(OR(D51="",E51=""),0,E51-D51))*1440,0)</x:f>
        <x:v>446</x:v>
      </x:c>
      <x:c r="L51" t="n">
        <x:v>440</x:v>
      </x:c>
      <x:c r="M51" t="n">
        <x:f>K51-L51</x:f>
        <x:v>6</x:v>
      </x:c>
      <x:c r="N51" t="n">
        <x:f>MAX(0,M51)</x:f>
        <x:v>6</x:v>
      </x:c>
      <x:c r="O51" t="n">
        <x:f>MAX(0,-M51)</x:f>
        <x:v>0</x:v>
      </x:c>
      <x:c r="P51" t="str">
        <x:v>Ponto registrado — complemento ilustrativo</x:v>
      </x:c>
      <x:c r="Q51" t="str">
        <x:v>Saída da CONFERÊNCIA DE CAIXA; entrada/intervalo simulados</x:v>
      </x:c>
      <x:c r="R51" t="str">
        <x:v>2025-04</x:v>
      </x:c>
    </x:row>
    <x:row r="52" ht="21" customHeight="1">
      <x:c r="A52" s="83" t="n">
        <x:v>45773</x:v>
      </x:c>
      <x:c r="B52" t="str">
        <x:v>sábado</x:v>
      </x:c>
      <x:c r="C52" s="85" t="n">
        <x:v>0.5402777777777777</x:v>
      </x:c>
      <x:c r="D52" s="85"/>
      <x:c r="E52" s="85"/>
      <x:c r="F52" s="85" t="n">
        <x:v>0.7069444444444445</x:v>
      </x:c>
      <x:c r="G52" t="str">
        <x:f>TEXT(INT(K52/60),"00")&amp;":"&amp;TEXT(MOD(K52,60),"00")</x:f>
        <x:v>04:00</x:v>
      </x:c>
      <x:c r="H52" t="str">
        <x:f>TEXT(INT(L52/60),"00")&amp;":"&amp;TEXT(MOD(L52,60),"00")</x:f>
        <x:v>04:00</x:v>
      </x:c>
      <x:c r="I52" t="str">
        <x:f>IF(N52&gt;0,"+"&amp;TEXT(INT(N52/60),"00")&amp;":"&amp;TEXT(MOD(N52,60),"00"),"00:00")</x:f>
        <x:v>00:00</x:v>
      </x:c>
      <x:c r="J52" t="str">
        <x:f>IF(O52&gt;0,"-"&amp;TEXT(INT(O52/60),"00")&amp;":"&amp;TEXT(MOD(O52,60),"00"),"00:00")</x:f>
        <x:v>00:00</x:v>
      </x:c>
      <x:c r="K52" t="n">
        <x:f>ROUND((F52-C52-IF(OR(D52="",E52=""),0,E52-D52))*1440,0)</x:f>
        <x:v>240</x:v>
      </x:c>
      <x:c r="L52" t="n">
        <x:v>240</x:v>
      </x:c>
      <x:c r="M52" t="n">
        <x:f>K52-L52</x:f>
        <x:v>0</x:v>
      </x:c>
      <x:c r="N52" t="n">
        <x:f>MAX(0,M52)</x:f>
        <x:v>0</x:v>
      </x:c>
      <x:c r="O52" t="n">
        <x:f>MAX(0,-M52)</x:f>
        <x:v>0</x:v>
      </x:c>
      <x:c r="P52" t="str">
        <x:v>Ponto registrado — complemento ilustrativo</x:v>
      </x:c>
      <x:c r="Q52" t="str">
        <x:v>Saída da CONFERÊNCIA DE CAIXA; entrada/intervalo simulados</x:v>
      </x:c>
      <x:c r="R52" t="str">
        <x:v>2025-04</x:v>
      </x:c>
    </x:row>
    <x:row r="53" ht="21" customHeight="1">
      <x:c r="A53" s="83" t="n">
        <x:v>45775</x:v>
      </x:c>
      <x:c r="B53" t="str">
        <x:v>segunda-feira</x:v>
      </x:c>
      <x:c r="C53" s="85" t="n">
        <x:v>0.5423611111111111</x:v>
      </x:c>
      <x:c r="D53" s="85" t="n">
        <x:v>0.6798611111111111</x:v>
      </x:c>
      <x:c r="E53" s="85" t="n">
        <x:v>0.7215277777777778</x:v>
      </x:c>
      <x:c r="F53" s="85" t="n">
        <x:v>0.8868055555555555</x:v>
      </x:c>
      <x:c r="G53" t="str">
        <x:f>TEXT(INT(K53/60),"00")&amp;":"&amp;TEXT(MOD(K53,60),"00")</x:f>
        <x:v>07:16</x:v>
      </x:c>
      <x:c r="H53" t="str">
        <x:f>TEXT(INT(L53/60),"00")&amp;":"&amp;TEXT(MOD(L53,60),"00")</x:f>
        <x:v>07:20</x:v>
      </x:c>
      <x:c r="I53" t="str">
        <x:f>IF(N53&gt;0,"+"&amp;TEXT(INT(N53/60),"00")&amp;":"&amp;TEXT(MOD(N53,60),"00"),"00:00")</x:f>
        <x:v>00:00</x:v>
      </x:c>
      <x:c r="J53" t="str">
        <x:f>IF(O53&gt;0,"-"&amp;TEXT(INT(O53/60),"00")&amp;":"&amp;TEXT(MOD(O53,60),"00"),"00:00")</x:f>
        <x:v>-00:04</x:v>
      </x:c>
      <x:c r="K53" t="n">
        <x:f>ROUND((F53-C53-IF(OR(D53="",E53=""),0,E53-D53))*1440,0)</x:f>
        <x:v>436</x:v>
      </x:c>
      <x:c r="L53" t="n">
        <x:v>440</x:v>
      </x:c>
      <x:c r="M53" t="n">
        <x:f>K53-L53</x:f>
        <x:v>-4</x:v>
      </x:c>
      <x:c r="N53" t="n">
        <x:f>MAX(0,M53)</x:f>
        <x:v>0</x:v>
      </x:c>
      <x:c r="O53" t="n">
        <x:f>MAX(0,-M53)</x:f>
        <x:v>4</x:v>
      </x:c>
      <x:c r="P53" t="str">
        <x:v>Ponto registrado — complemento ilustrativo</x:v>
      </x:c>
      <x:c r="Q53" t="str">
        <x:v>Saída da CONFERÊNCIA DE CAIXA; entrada/intervalo simulados</x:v>
      </x:c>
      <x:c r="R53" t="str">
        <x:v>2025-04</x:v>
      </x:c>
    </x:row>
    <x:row r="54" ht="21" customHeight="1">
      <x:c r="A54" s="83" t="n">
        <x:v>45776</x:v>
      </x:c>
      <x:c r="B54" t="str">
        <x:v>terça-feira</x:v>
      </x:c>
      <x:c r="C54" s="85" t="n">
        <x:v>0.5375</x:v>
      </x:c>
      <x:c r="D54" s="85" t="n">
        <x:v>0.6777777777777778</x:v>
      </x:c>
      <x:c r="E54" s="85" t="n">
        <x:v>0.7222222222222222</x:v>
      </x:c>
      <x:c r="F54" s="85" t="n">
        <x:v>0.8902777777777777</x:v>
      </x:c>
      <x:c r="G54" t="str">
        <x:f>TEXT(INT(K54/60),"00")&amp;":"&amp;TEXT(MOD(K54,60),"00")</x:f>
        <x:v>07:24</x:v>
      </x:c>
      <x:c r="H54" t="str">
        <x:f>TEXT(INT(L54/60),"00")&amp;":"&amp;TEXT(MOD(L54,60),"00")</x:f>
        <x:v>07:20</x:v>
      </x:c>
      <x:c r="I54" t="str">
        <x:f>IF(N54&gt;0,"+"&amp;TEXT(INT(N54/60),"00")&amp;":"&amp;TEXT(MOD(N54,60),"00"),"00:00")</x:f>
        <x:v>+00:04</x:v>
      </x:c>
      <x:c r="J54" t="str">
        <x:f>IF(O54&gt;0,"-"&amp;TEXT(INT(O54/60),"00")&amp;":"&amp;TEXT(MOD(O54,60),"00"),"00:00")</x:f>
        <x:v>00:00</x:v>
      </x:c>
      <x:c r="K54" t="n">
        <x:f>ROUND((F54-C54-IF(OR(D54="",E54=""),0,E54-D54))*1440,0)</x:f>
        <x:v>444</x:v>
      </x:c>
      <x:c r="L54" t="n">
        <x:v>440</x:v>
      </x:c>
      <x:c r="M54" t="n">
        <x:f>K54-L54</x:f>
        <x:v>4</x:v>
      </x:c>
      <x:c r="N54" t="n">
        <x:f>MAX(0,M54)</x:f>
        <x:v>4</x:v>
      </x:c>
      <x:c r="O54" t="n">
        <x:f>MAX(0,-M54)</x:f>
        <x:v>0</x:v>
      </x:c>
      <x:c r="P54" t="str">
        <x:v>Ponto registrado — complemento ilustrativo</x:v>
      </x:c>
      <x:c r="Q54" t="str">
        <x:v>Saída da CONFERÊNCIA DE CAIXA; entrada/intervalo simulados</x:v>
      </x:c>
      <x:c r="R54" t="str">
        <x:v>2025-04</x:v>
      </x:c>
    </x:row>
    <x:row r="55" ht="21" customHeight="1">
      <x:c r="A55" s="83" t="n">
        <x:v>45777</x:v>
      </x:c>
      <x:c r="B55" t="str">
        <x:v>quarta-feira</x:v>
      </x:c>
      <x:c r="C55" s="85" t="n">
        <x:v>0.5444444444444444</x:v>
      </x:c>
      <x:c r="D55" s="85" t="n">
        <x:v>0.6729166666666667</x:v>
      </x:c>
      <x:c r="E55" s="85" t="n">
        <x:v>0.7152777777777778</x:v>
      </x:c>
      <x:c r="F55" s="85" t="n">
        <x:v>0.8895833333333333</x:v>
      </x:c>
      <x:c r="G55" t="str">
        <x:f>TEXT(INT(K55/60),"00")&amp;":"&amp;TEXT(MOD(K55,60),"00")</x:f>
        <x:v>07:16</x:v>
      </x:c>
      <x:c r="H55" t="str">
        <x:f>TEXT(INT(L55/60),"00")&amp;":"&amp;TEXT(MOD(L55,60),"00")</x:f>
        <x:v>07:20</x:v>
      </x:c>
      <x:c r="I55" t="str">
        <x:f>IF(N55&gt;0,"+"&amp;TEXT(INT(N55/60),"00")&amp;":"&amp;TEXT(MOD(N55,60),"00"),"00:00")</x:f>
        <x:v>00:00</x:v>
      </x:c>
      <x:c r="J55" t="str">
        <x:f>IF(O55&gt;0,"-"&amp;TEXT(INT(O55/60),"00")&amp;":"&amp;TEXT(MOD(O55,60),"00"),"00:00")</x:f>
        <x:v>-00:04</x:v>
      </x:c>
      <x:c r="K55" t="n">
        <x:f>ROUND((F55-C55-IF(OR(D55="",E55=""),0,E55-D55))*1440,0)</x:f>
        <x:v>436</x:v>
      </x:c>
      <x:c r="L55" t="n">
        <x:v>440</x:v>
      </x:c>
      <x:c r="M55" t="n">
        <x:f>K55-L55</x:f>
        <x:v>-4</x:v>
      </x:c>
      <x:c r="N55" t="n">
        <x:f>MAX(0,M55)</x:f>
        <x:v>0</x:v>
      </x:c>
      <x:c r="O55" t="n">
        <x:f>MAX(0,-M55)</x:f>
        <x:v>4</x:v>
      </x:c>
      <x:c r="P55" t="str">
        <x:v>Ponto registrado — complemento ilustrativo</x:v>
      </x:c>
      <x:c r="Q55" t="str">
        <x:v>Saída da CONFERÊNCIA DE CAIXA; entrada/intervalo simulados</x:v>
      </x:c>
      <x:c r="R55" t="str">
        <x:v>2025-04</x:v>
      </x:c>
    </x:row>
    <x:row r="56" ht="21" customHeight="1">
      <x:c r="A56" s="83" t="n">
        <x:v>45778</x:v>
      </x:c>
      <x:c r="B56" t="str">
        <x:v>quinta-feira</x:v>
      </x:c>
      <x:c r="C56" s="85" t="n">
        <x:v>0.5472222222222223</x:v>
      </x:c>
      <x:c r="D56" s="85" t="n">
        <x:v>0.6743055555555556</x:v>
      </x:c>
      <x:c r="E56" s="85" t="n">
        <x:v>0.7138888888888889</x:v>
      </x:c>
      <x:c r="F56" s="85" t="n">
        <x:v>0.8888888888888888</x:v>
      </x:c>
      <x:c r="G56" t="str">
        <x:f>TEXT(INT(K56/60),"00")&amp;":"&amp;TEXT(MOD(K56,60),"00")</x:f>
        <x:v>07:15</x:v>
      </x:c>
      <x:c r="H56" t="str">
        <x:f>TEXT(INT(L56/60),"00")&amp;":"&amp;TEXT(MOD(L56,60),"00")</x:f>
        <x:v>07:20</x:v>
      </x:c>
      <x:c r="I56" t="str">
        <x:f>IF(N56&gt;0,"+"&amp;TEXT(INT(N56/60),"00")&amp;":"&amp;TEXT(MOD(N56,60),"00"),"00:00")</x:f>
        <x:v>00:00</x:v>
      </x:c>
      <x:c r="J56" t="str">
        <x:f>IF(O56&gt;0,"-"&amp;TEXT(INT(O56/60),"00")&amp;":"&amp;TEXT(MOD(O56,60),"00"),"00:00")</x:f>
        <x:v>-00:05</x:v>
      </x:c>
      <x:c r="K56" t="n">
        <x:f>ROUND((F56-C56-IF(OR(D56="",E56=""),0,E56-D56))*1440,0)</x:f>
        <x:v>435</x:v>
      </x:c>
      <x:c r="L56" t="n">
        <x:v>440</x:v>
      </x:c>
      <x:c r="M56" t="n">
        <x:f>K56-L56</x:f>
        <x:v>-5</x:v>
      </x:c>
      <x:c r="N56" t="n">
        <x:f>MAX(0,M56)</x:f>
        <x:v>0</x:v>
      </x:c>
      <x:c r="O56" t="n">
        <x:f>MAX(0,-M56)</x:f>
        <x:v>5</x:v>
      </x:c>
      <x:c r="P56" t="str">
        <x:v>Ponto registrado — complemento ilustrativo</x:v>
      </x:c>
      <x:c r="Q56" t="str">
        <x:v>Saída da CONFERÊNCIA DE CAIXA; entrada/intervalo simulados</x:v>
      </x:c>
      <x:c r="R56" t="str">
        <x:v>2025-05</x:v>
      </x:c>
    </x:row>
    <x:row r="57" ht="21" customHeight="1">
      <x:c r="A57" s="83" t="n">
        <x:v>45779</x:v>
      </x:c>
      <x:c r="B57" t="str">
        <x:v>sexta-feira</x:v>
      </x:c>
      <x:c r="C57" s="85" t="n">
        <x:v>0.5375</x:v>
      </x:c>
      <x:c r="D57" s="85" t="n">
        <x:v>0.6798611111111111</x:v>
      </x:c>
      <x:c r="E57" s="85" t="n">
        <x:v>0.7229166666666667</x:v>
      </x:c>
      <x:c r="F57" s="85" t="n">
        <x:v>0.8861111111111111</x:v>
      </x:c>
      <x:c r="G57" t="str">
        <x:f>TEXT(INT(K57/60),"00")&amp;":"&amp;TEXT(MOD(K57,60),"00")</x:f>
        <x:v>07:20</x:v>
      </x:c>
      <x:c r="H57" t="str">
        <x:f>TEXT(INT(L57/60),"00")&amp;":"&amp;TEXT(MOD(L57,60),"00")</x:f>
        <x:v>07:20</x:v>
      </x:c>
      <x:c r="I57" t="str">
        <x:f>IF(N57&gt;0,"+"&amp;TEXT(INT(N57/60),"00")&amp;":"&amp;TEXT(MOD(N57,60),"00"),"00:00")</x:f>
        <x:v>00:00</x:v>
      </x:c>
      <x:c r="J57" t="str">
        <x:f>IF(O57&gt;0,"-"&amp;TEXT(INT(O57/60),"00")&amp;":"&amp;TEXT(MOD(O57,60),"00"),"00:00")</x:f>
        <x:v>00:00</x:v>
      </x:c>
      <x:c r="K57" t="n">
        <x:f>ROUND((F57-C57-IF(OR(D57="",E57=""),0,E57-D57))*1440,0)</x:f>
        <x:v>440</x:v>
      </x:c>
      <x:c r="L57" t="n">
        <x:v>440</x:v>
      </x:c>
      <x:c r="M57" t="n">
        <x:f>K57-L57</x:f>
        <x:v>0</x:v>
      </x:c>
      <x:c r="N57" t="n">
        <x:f>MAX(0,M57)</x:f>
        <x:v>0</x:v>
      </x:c>
      <x:c r="O57" t="n">
        <x:f>MAX(0,-M57)</x:f>
        <x:v>0</x:v>
      </x:c>
      <x:c r="P57" t="str">
        <x:v>Ponto registrado — complemento ilustrativo</x:v>
      </x:c>
      <x:c r="Q57" t="str">
        <x:v>Saída da CONFERÊNCIA DE CAIXA; entrada/intervalo simulados</x:v>
      </x:c>
      <x:c r="R57" t="str">
        <x:v>2025-05</x:v>
      </x:c>
    </x:row>
    <x:row r="58" ht="21" customHeight="1">
      <x:c r="A58" s="83" t="n">
        <x:v>45780</x:v>
      </x:c>
      <x:c r="B58" t="str">
        <x:v>sábado</x:v>
      </x:c>
      <x:c r="C58" s="85" t="n">
        <x:v>0.5416666666666666</x:v>
      </x:c>
      <x:c r="D58" s="85"/>
      <x:c r="E58" s="85"/>
      <x:c r="F58" s="85" t="n">
        <x:v>0.7069444444444445</x:v>
      </x:c>
      <x:c r="G58" t="str">
        <x:f>TEXT(INT(K58/60),"00")&amp;":"&amp;TEXT(MOD(K58,60),"00")</x:f>
        <x:v>03:58</x:v>
      </x:c>
      <x:c r="H58" t="str">
        <x:f>TEXT(INT(L58/60),"00")&amp;":"&amp;TEXT(MOD(L58,60),"00")</x:f>
        <x:v>04:00</x:v>
      </x:c>
      <x:c r="I58" t="str">
        <x:f>IF(N58&gt;0,"+"&amp;TEXT(INT(N58/60),"00")&amp;":"&amp;TEXT(MOD(N58,60),"00"),"00:00")</x:f>
        <x:v>00:00</x:v>
      </x:c>
      <x:c r="J58" t="str">
        <x:f>IF(O58&gt;0,"-"&amp;TEXT(INT(O58/60),"00")&amp;":"&amp;TEXT(MOD(O58,60),"00"),"00:00")</x:f>
        <x:v>-00:02</x:v>
      </x:c>
      <x:c r="K58" t="n">
        <x:f>ROUND((F58-C58-IF(OR(D58="",E58=""),0,E58-D58))*1440,0)</x:f>
        <x:v>238</x:v>
      </x:c>
      <x:c r="L58" t="n">
        <x:v>240</x:v>
      </x:c>
      <x:c r="M58" t="n">
        <x:f>K58-L58</x:f>
        <x:v>-2</x:v>
      </x:c>
      <x:c r="N58" t="n">
        <x:f>MAX(0,M58)</x:f>
        <x:v>0</x:v>
      </x:c>
      <x:c r="O58" t="n">
        <x:f>MAX(0,-M58)</x:f>
        <x:v>2</x:v>
      </x:c>
      <x:c r="P58" t="str">
        <x:v>Ponto registrado — complemento ilustrativo</x:v>
      </x:c>
      <x:c r="Q58" t="str">
        <x:v>Saída da CONFERÊNCIA DE CAIXA; entrada/intervalo simulados</x:v>
      </x:c>
      <x:c r="R58" t="str">
        <x:v>2025-05</x:v>
      </x:c>
    </x:row>
    <x:row r="59" ht="21" customHeight="1">
      <x:c r="A59" s="83" t="n">
        <x:v>45782</x:v>
      </x:c>
      <x:c r="B59" t="str">
        <x:v>segunda-feira</x:v>
      </x:c>
      <x:c r="C59" s="85" t="n">
        <x:v>0.5451388888888888</x:v>
      </x:c>
      <x:c r="D59" s="85" t="n">
        <x:v>0.6715277777777777</x:v>
      </x:c>
      <x:c r="E59" s="85" t="n">
        <x:v>0.7104166666666667</x:v>
      </x:c>
      <x:c r="F59" s="85" t="n">
        <x:v>0.8888888888888888</x:v>
      </x:c>
      <x:c r="G59" t="str">
        <x:f>TEXT(INT(K59/60),"00")&amp;":"&amp;TEXT(MOD(K59,60),"00")</x:f>
        <x:v>07:19</x:v>
      </x:c>
      <x:c r="H59" t="str">
        <x:f>TEXT(INT(L59/60),"00")&amp;":"&amp;TEXT(MOD(L59,60),"00")</x:f>
        <x:v>07:20</x:v>
      </x:c>
      <x:c r="I59" t="str">
        <x:f>IF(N59&gt;0,"+"&amp;TEXT(INT(N59/60),"00")&amp;":"&amp;TEXT(MOD(N59,60),"00"),"00:00")</x:f>
        <x:v>00:00</x:v>
      </x:c>
      <x:c r="J59" t="str">
        <x:f>IF(O59&gt;0,"-"&amp;TEXT(INT(O59/60),"00")&amp;":"&amp;TEXT(MOD(O59,60),"00"),"00:00")</x:f>
        <x:v>-00:01</x:v>
      </x:c>
      <x:c r="K59" t="n">
        <x:f>ROUND((F59-C59-IF(OR(D59="",E59=""),0,E59-D59))*1440,0)</x:f>
        <x:v>439</x:v>
      </x:c>
      <x:c r="L59" t="n">
        <x:v>440</x:v>
      </x:c>
      <x:c r="M59" t="n">
        <x:f>K59-L59</x:f>
        <x:v>-1</x:v>
      </x:c>
      <x:c r="N59" t="n">
        <x:f>MAX(0,M59)</x:f>
        <x:v>0</x:v>
      </x:c>
      <x:c r="O59" t="n">
        <x:f>MAX(0,-M59)</x:f>
        <x:v>1</x:v>
      </x:c>
      <x:c r="P59" t="str">
        <x:v>Ponto registrado — complemento ilustrativo</x:v>
      </x:c>
      <x:c r="Q59" t="str">
        <x:v>Saída da CONFERÊNCIA DE CAIXA; entrada/intervalo simulados</x:v>
      </x:c>
      <x:c r="R59" t="str">
        <x:v>2025-05</x:v>
      </x:c>
    </x:row>
    <x:row r="60" ht="21" customHeight="1">
      <x:c r="A60" s="83" t="n">
        <x:v>45783</x:v>
      </x:c>
      <x:c r="B60" t="str">
        <x:v>terça-feira</x:v>
      </x:c>
      <x:c r="C60" s="85" t="n">
        <x:v>0.54375</x:v>
      </x:c>
      <x:c r="D60" s="85" t="n">
        <x:v>0.6666666666666666</x:v>
      </x:c>
      <x:c r="E60" s="85" t="n">
        <x:v>0.7111111111111111</x:v>
      </x:c>
      <x:c r="F60" s="85" t="n">
        <x:v>0.8902777777777777</x:v>
      </x:c>
      <x:c r="G60" t="str">
        <x:f>TEXT(INT(K60/60),"00")&amp;":"&amp;TEXT(MOD(K60,60),"00")</x:f>
        <x:v>07:15</x:v>
      </x:c>
      <x:c r="H60" t="str">
        <x:f>TEXT(INT(L60/60),"00")&amp;":"&amp;TEXT(MOD(L60,60),"00")</x:f>
        <x:v>07:20</x:v>
      </x:c>
      <x:c r="I60" t="str">
        <x:f>IF(N60&gt;0,"+"&amp;TEXT(INT(N60/60),"00")&amp;":"&amp;TEXT(MOD(N60,60),"00"),"00:00")</x:f>
        <x:v>00:00</x:v>
      </x:c>
      <x:c r="J60" t="str">
        <x:f>IF(O60&gt;0,"-"&amp;TEXT(INT(O60/60),"00")&amp;":"&amp;TEXT(MOD(O60,60),"00"),"00:00")</x:f>
        <x:v>-00:05</x:v>
      </x:c>
      <x:c r="K60" t="n">
        <x:f>ROUND((F60-C60-IF(OR(D60="",E60=""),0,E60-D60))*1440,0)</x:f>
        <x:v>435</x:v>
      </x:c>
      <x:c r="L60" t="n">
        <x:v>440</x:v>
      </x:c>
      <x:c r="M60" t="n">
        <x:f>K60-L60</x:f>
        <x:v>-5</x:v>
      </x:c>
      <x:c r="N60" t="n">
        <x:f>MAX(0,M60)</x:f>
        <x:v>0</x:v>
      </x:c>
      <x:c r="O60" t="n">
        <x:f>MAX(0,-M60)</x:f>
        <x:v>5</x:v>
      </x:c>
      <x:c r="P60" t="str">
        <x:v>Ponto registrado — complemento ilustrativo</x:v>
      </x:c>
      <x:c r="Q60" t="str">
        <x:v>Saída da CONFERÊNCIA DE CAIXA; entrada/intervalo simulados</x:v>
      </x:c>
      <x:c r="R60" t="str">
        <x:v>2025-05</x:v>
      </x:c>
    </x:row>
    <x:row r="61" ht="21" customHeight="1">
      <x:c r="A61" s="83" t="n">
        <x:v>45784</x:v>
      </x:c>
      <x:c r="B61" t="str">
        <x:v>quarta-feira</x:v>
      </x:c>
      <x:c r="C61" s="85" t="n">
        <x:v>0.54375</x:v>
      </x:c>
      <x:c r="D61" s="85" t="n">
        <x:v>0.6673611111111111</x:v>
      </x:c>
      <x:c r="E61" s="85" t="n">
        <x:v>0.7083333333333334</x:v>
      </x:c>
      <x:c r="F61" s="85" t="n">
        <x:v>0.8861111111111111</x:v>
      </x:c>
      <x:c r="G61" t="str">
        <x:f>TEXT(INT(K61/60),"00")&amp;":"&amp;TEXT(MOD(K61,60),"00")</x:f>
        <x:v>07:14</x:v>
      </x:c>
      <x:c r="H61" t="str">
        <x:f>TEXT(INT(L61/60),"00")&amp;":"&amp;TEXT(MOD(L61,60),"00")</x:f>
        <x:v>07:20</x:v>
      </x:c>
      <x:c r="I61" t="str">
        <x:f>IF(N61&gt;0,"+"&amp;TEXT(INT(N61/60),"00")&amp;":"&amp;TEXT(MOD(N61,60),"00"),"00:00")</x:f>
        <x:v>00:00</x:v>
      </x:c>
      <x:c r="J61" t="str">
        <x:f>IF(O61&gt;0,"-"&amp;TEXT(INT(O61/60),"00")&amp;":"&amp;TEXT(MOD(O61,60),"00"),"00:00")</x:f>
        <x:v>-00:06</x:v>
      </x:c>
      <x:c r="K61" t="n">
        <x:f>ROUND((F61-C61-IF(OR(D61="",E61=""),0,E61-D61))*1440,0)</x:f>
        <x:v>434</x:v>
      </x:c>
      <x:c r="L61" t="n">
        <x:v>440</x:v>
      </x:c>
      <x:c r="M61" t="n">
        <x:f>K61-L61</x:f>
        <x:v>-6</x:v>
      </x:c>
      <x:c r="N61" t="n">
        <x:f>MAX(0,M61)</x:f>
        <x:v>0</x:v>
      </x:c>
      <x:c r="O61" t="n">
        <x:f>MAX(0,-M61)</x:f>
        <x:v>6</x:v>
      </x:c>
      <x:c r="P61" t="str">
        <x:v>Ponto registrado — complemento ilustrativo</x:v>
      </x:c>
      <x:c r="Q61" t="str">
        <x:v>Saída da CONFERÊNCIA DE CAIXA; entrada/intervalo simulados</x:v>
      </x:c>
      <x:c r="R61" t="str">
        <x:v>2025-05</x:v>
      </x:c>
    </x:row>
    <x:row r="62" ht="21" customHeight="1">
      <x:c r="A62" s="83" t="n">
        <x:v>45785</x:v>
      </x:c>
      <x:c r="B62" t="str">
        <x:v>quinta-feira</x:v>
      </x:c>
      <x:c r="C62" s="85" t="n">
        <x:v>0.5388888888888889</x:v>
      </x:c>
      <x:c r="D62" s="85" t="n">
        <x:v>0.6770833333333334</x:v>
      </x:c>
      <x:c r="E62" s="85" t="n">
        <x:v>0.71875</x:v>
      </x:c>
      <x:c r="F62" s="85" t="n">
        <x:v>0.8888888888888888</x:v>
      </x:c>
      <x:c r="G62" t="str">
        <x:f>TEXT(INT(K62/60),"00")&amp;":"&amp;TEXT(MOD(K62,60),"00")</x:f>
        <x:v>07:24</x:v>
      </x:c>
      <x:c r="H62" t="str">
        <x:f>TEXT(INT(L62/60),"00")&amp;":"&amp;TEXT(MOD(L62,60),"00")</x:f>
        <x:v>07:20</x:v>
      </x:c>
      <x:c r="I62" t="str">
        <x:f>IF(N62&gt;0,"+"&amp;TEXT(INT(N62/60),"00")&amp;":"&amp;TEXT(MOD(N62,60),"00"),"00:00")</x:f>
        <x:v>+00:04</x:v>
      </x:c>
      <x:c r="J62" t="str">
        <x:f>IF(O62&gt;0,"-"&amp;TEXT(INT(O62/60),"00")&amp;":"&amp;TEXT(MOD(O62,60),"00"),"00:00")</x:f>
        <x:v>00:00</x:v>
      </x:c>
      <x:c r="K62" t="n">
        <x:f>ROUND((F62-C62-IF(OR(D62="",E62=""),0,E62-D62))*1440,0)</x:f>
        <x:v>444</x:v>
      </x:c>
      <x:c r="L62" t="n">
        <x:v>440</x:v>
      </x:c>
      <x:c r="M62" t="n">
        <x:f>K62-L62</x:f>
        <x:v>4</x:v>
      </x:c>
      <x:c r="N62" t="n">
        <x:f>MAX(0,M62)</x:f>
        <x:v>4</x:v>
      </x:c>
      <x:c r="O62" t="n">
        <x:f>MAX(0,-M62)</x:f>
        <x:v>0</x:v>
      </x:c>
      <x:c r="P62" t="str">
        <x:v>Ponto registrado — complemento ilustrativo</x:v>
      </x:c>
      <x:c r="Q62" t="str">
        <x:v>Saída da CONFERÊNCIA DE CAIXA; entrada/intervalo simulados</x:v>
      </x:c>
      <x:c r="R62" t="str">
        <x:v>2025-05</x:v>
      </x:c>
    </x:row>
    <x:row r="63" ht="21" customHeight="1">
      <x:c r="A63" s="83" t="n">
        <x:v>45786</x:v>
      </x:c>
      <x:c r="B63" t="str">
        <x:v>sexta-feira</x:v>
      </x:c>
      <x:c r="C63" s="85" t="n">
        <x:v>0.5472222222222223</x:v>
      </x:c>
      <x:c r="D63" s="85" t="n">
        <x:v>0.6659722222222222</x:v>
      </x:c>
      <x:c r="E63" s="85" t="n">
        <x:v>0.7097222222222223</x:v>
      </x:c>
      <x:c r="F63" s="85" t="n">
        <x:v>0.8861111111111111</x:v>
      </x:c>
      <x:c r="G63" t="str">
        <x:f>TEXT(INT(K63/60),"00")&amp;":"&amp;TEXT(MOD(K63,60),"00")</x:f>
        <x:v>07:05</x:v>
      </x:c>
      <x:c r="H63" t="str">
        <x:f>TEXT(INT(L63/60),"00")&amp;":"&amp;TEXT(MOD(L63,60),"00")</x:f>
        <x:v>07:20</x:v>
      </x:c>
      <x:c r="I63" t="str">
        <x:f>IF(N63&gt;0,"+"&amp;TEXT(INT(N63/60),"00")&amp;":"&amp;TEXT(MOD(N63,60),"00"),"00:00")</x:f>
        <x:v>00:00</x:v>
      </x:c>
      <x:c r="J63" t="str">
        <x:f>IF(O63&gt;0,"-"&amp;TEXT(INT(O63/60),"00")&amp;":"&amp;TEXT(MOD(O63,60),"00"),"00:00")</x:f>
        <x:v>-00:15</x:v>
      </x:c>
      <x:c r="K63" t="n">
        <x:f>ROUND((F63-C63-IF(OR(D63="",E63=""),0,E63-D63))*1440,0)</x:f>
        <x:v>425</x:v>
      </x:c>
      <x:c r="L63" t="n">
        <x:v>440</x:v>
      </x:c>
      <x:c r="M63" t="n">
        <x:f>K63-L63</x:f>
        <x:v>-15</x:v>
      </x:c>
      <x:c r="N63" t="n">
        <x:f>MAX(0,M63)</x:f>
        <x:v>0</x:v>
      </x:c>
      <x:c r="O63" t="n">
        <x:f>MAX(0,-M63)</x:f>
        <x:v>15</x:v>
      </x:c>
      <x:c r="P63" t="str">
        <x:v>Ponto registrado — complemento ilustrativo</x:v>
      </x:c>
      <x:c r="Q63" t="str">
        <x:v>Saída da CONFERÊNCIA DE CAIXA; entrada/intervalo simulados</x:v>
      </x:c>
      <x:c r="R63" t="str">
        <x:v>2025-05</x:v>
      </x:c>
    </x:row>
    <x:row r="64" ht="21" customHeight="1">
      <x:c r="A64" s="83" t="n">
        <x:v>45787</x:v>
      </x:c>
      <x:c r="B64" t="str">
        <x:v>sábado</x:v>
      </x:c>
      <x:c r="C64" s="85" t="n">
        <x:v>0.5375</x:v>
      </x:c>
      <x:c r="D64" s="85" t="n">
        <x:v>0.65625</x:v>
      </x:c>
      <x:c r="E64" s="85" t="n">
        <x:v>0.6666666666666666</x:v>
      </x:c>
      <x:c r="F64" s="85" t="n">
        <x:v>0.7104166666666667</x:v>
      </x:c>
      <x:c r="G64" t="str">
        <x:f>TEXT(INT(K64/60),"00")&amp;":"&amp;TEXT(MOD(K64,60),"00")</x:f>
        <x:v>03:54</x:v>
      </x:c>
      <x:c r="H64" t="str">
        <x:f>TEXT(INT(L64/60),"00")&amp;":"&amp;TEXT(MOD(L64,60),"00")</x:f>
        <x:v>04:00</x:v>
      </x:c>
      <x:c r="I64" t="str">
        <x:f>IF(N64&gt;0,"+"&amp;TEXT(INT(N64/60),"00")&amp;":"&amp;TEXT(MOD(N64,60),"00"),"00:00")</x:f>
        <x:v>00:00</x:v>
      </x:c>
      <x:c r="J64" t="str">
        <x:f>IF(O64&gt;0,"-"&amp;TEXT(INT(O64/60),"00")&amp;":"&amp;TEXT(MOD(O64,60),"00"),"00:00")</x:f>
        <x:v>-00:06</x:v>
      </x:c>
      <x:c r="K64" t="n">
        <x:f>ROUND((F64-C64-IF(OR(D64="",E64=""),0,E64-D64))*1440,0)</x:f>
        <x:v>234</x:v>
      </x:c>
      <x:c r="L64" t="n">
        <x:v>240</x:v>
      </x:c>
      <x:c r="M64" t="n">
        <x:f>K64-L64</x:f>
        <x:v>-6</x:v>
      </x:c>
      <x:c r="N64" t="n">
        <x:f>MAX(0,M64)</x:f>
        <x:v>0</x:v>
      </x:c>
      <x:c r="O64" t="n">
        <x:f>MAX(0,-M64)</x:f>
        <x:v>6</x:v>
      </x:c>
      <x:c r="P64" t="str">
        <x:v>Ponto registrado — complemento ilustrativo</x:v>
      </x:c>
      <x:c r="Q64" t="str">
        <x:v>Saída da CONFERÊNCIA DE CAIXA; entrada/intervalo simulados</x:v>
      </x:c>
      <x:c r="R64" t="str">
        <x:v>2025-05</x:v>
      </x:c>
    </x:row>
    <x:row r="65" ht="21" customHeight="1">
      <x:c r="A65" s="83" t="n">
        <x:v>45789</x:v>
      </x:c>
      <x:c r="B65" t="str">
        <x:v>segunda-feira</x:v>
      </x:c>
      <x:c r="C65" s="85" t="n">
        <x:v>0.5444444444444444</x:v>
      </x:c>
      <x:c r="D65" s="85" t="n">
        <x:v>0.6736111111111112</x:v>
      </x:c>
      <x:c r="E65" s="85" t="n">
        <x:v>0.7125</x:v>
      </x:c>
      <x:c r="F65" s="85" t="n">
        <x:v>0.8888888888888888</x:v>
      </x:c>
      <x:c r="G65" t="str">
        <x:f>TEXT(INT(K65/60),"00")&amp;":"&amp;TEXT(MOD(K65,60),"00")</x:f>
        <x:v>07:20</x:v>
      </x:c>
      <x:c r="H65" t="str">
        <x:f>TEXT(INT(L65/60),"00")&amp;":"&amp;TEXT(MOD(L65,60),"00")</x:f>
        <x:v>07:20</x:v>
      </x:c>
      <x:c r="I65" t="str">
        <x:f>IF(N65&gt;0,"+"&amp;TEXT(INT(N65/60),"00")&amp;":"&amp;TEXT(MOD(N65,60),"00"),"00:00")</x:f>
        <x:v>00:00</x:v>
      </x:c>
      <x:c r="J65" t="str">
        <x:f>IF(O65&gt;0,"-"&amp;TEXT(INT(O65/60),"00")&amp;":"&amp;TEXT(MOD(O65,60),"00"),"00:00")</x:f>
        <x:v>00:00</x:v>
      </x:c>
      <x:c r="K65" t="n">
        <x:f>ROUND((F65-C65-IF(OR(D65="",E65=""),0,E65-D65))*1440,0)</x:f>
        <x:v>440</x:v>
      </x:c>
      <x:c r="L65" t="n">
        <x:v>440</x:v>
      </x:c>
      <x:c r="M65" t="n">
        <x:f>K65-L65</x:f>
        <x:v>0</x:v>
      </x:c>
      <x:c r="N65" t="n">
        <x:f>MAX(0,M65)</x:f>
        <x:v>0</x:v>
      </x:c>
      <x:c r="O65" t="n">
        <x:f>MAX(0,-M65)</x:f>
        <x:v>0</x:v>
      </x:c>
      <x:c r="P65" t="str">
        <x:v>Ponto registrado — complemento ilustrativo</x:v>
      </x:c>
      <x:c r="Q65" t="str">
        <x:v>Saída da CONFERÊNCIA DE CAIXA; entrada/intervalo simulados</x:v>
      </x:c>
      <x:c r="R65" t="str">
        <x:v>2025-05</x:v>
      </x:c>
    </x:row>
    <x:row r="66" ht="21" customHeight="1">
      <x:c r="A66" s="83" t="n">
        <x:v>45790</x:v>
      </x:c>
      <x:c r="B66" t="str">
        <x:v>terça-feira</x:v>
      </x:c>
      <x:c r="C66" s="85" t="n">
        <x:v>0.5430555555555555</x:v>
      </x:c>
      <x:c r="D66" s="85" t="n">
        <x:v>0.6763888888888889</x:v>
      </x:c>
      <x:c r="E66" s="85" t="n">
        <x:v>0.7152777777777778</x:v>
      </x:c>
      <x:c r="F66" s="85" t="n">
        <x:v>0.8909722222222223</x:v>
      </x:c>
      <x:c r="G66" t="str">
        <x:f>TEXT(INT(K66/60),"00")&amp;":"&amp;TEXT(MOD(K66,60),"00")</x:f>
        <x:v>07:25</x:v>
      </x:c>
      <x:c r="H66" t="str">
        <x:f>TEXT(INT(L66/60),"00")&amp;":"&amp;TEXT(MOD(L66,60),"00")</x:f>
        <x:v>07:20</x:v>
      </x:c>
      <x:c r="I66" t="str">
        <x:f>IF(N66&gt;0,"+"&amp;TEXT(INT(N66/60),"00")&amp;":"&amp;TEXT(MOD(N66,60),"00"),"00:00")</x:f>
        <x:v>+00:05</x:v>
      </x:c>
      <x:c r="J66" t="str">
        <x:f>IF(O66&gt;0,"-"&amp;TEXT(INT(O66/60),"00")&amp;":"&amp;TEXT(MOD(O66,60),"00"),"00:00")</x:f>
        <x:v>00:00</x:v>
      </x:c>
      <x:c r="K66" t="n">
        <x:f>ROUND((F66-C66-IF(OR(D66="",E66=""),0,E66-D66))*1440,0)</x:f>
        <x:v>445</x:v>
      </x:c>
      <x:c r="L66" t="n">
        <x:v>440</x:v>
      </x:c>
      <x:c r="M66" t="n">
        <x:f>K66-L66</x:f>
        <x:v>5</x:v>
      </x:c>
      <x:c r="N66" t="n">
        <x:f>MAX(0,M66)</x:f>
        <x:v>5</x:v>
      </x:c>
      <x:c r="O66" t="n">
        <x:f>MAX(0,-M66)</x:f>
        <x:v>0</x:v>
      </x:c>
      <x:c r="P66" t="str">
        <x:v>Ponto registrado — complemento ilustrativo</x:v>
      </x:c>
      <x:c r="Q66" t="str">
        <x:v>Saída da CONFERÊNCIA DE CAIXA; entrada/intervalo simulados</x:v>
      </x:c>
      <x:c r="R66" t="str">
        <x:v>2025-05</x:v>
      </x:c>
    </x:row>
    <x:row r="67" ht="21" customHeight="1">
      <x:c r="A67" s="83" t="n">
        <x:v>45791</x:v>
      </x:c>
      <x:c r="B67" t="str">
        <x:v>quarta-feira</x:v>
      </x:c>
      <x:c r="C67" s="85" t="n">
        <x:v>0.54375</x:v>
      </x:c>
      <x:c r="D67" s="85" t="n">
        <x:v>0.6708333333333333</x:v>
      </x:c>
      <x:c r="E67" s="85" t="n">
        <x:v>0.7104166666666667</x:v>
      </x:c>
      <x:c r="F67" s="85" t="n">
        <x:v>0.8888888888888888</x:v>
      </x:c>
      <x:c r="G67" t="str">
        <x:f>TEXT(INT(K67/60),"00")&amp;":"&amp;TEXT(MOD(K67,60),"00")</x:f>
        <x:v>07:20</x:v>
      </x:c>
      <x:c r="H67" t="str">
        <x:f>TEXT(INT(L67/60),"00")&amp;":"&amp;TEXT(MOD(L67,60),"00")</x:f>
        <x:v>07:20</x:v>
      </x:c>
      <x:c r="I67" t="str">
        <x:f>IF(N67&gt;0,"+"&amp;TEXT(INT(N67/60),"00")&amp;":"&amp;TEXT(MOD(N67,60),"00"),"00:00")</x:f>
        <x:v>00:00</x:v>
      </x:c>
      <x:c r="J67" t="str">
        <x:f>IF(O67&gt;0,"-"&amp;TEXT(INT(O67/60),"00")&amp;":"&amp;TEXT(MOD(O67,60),"00"),"00:00")</x:f>
        <x:v>00:00</x:v>
      </x:c>
      <x:c r="K67" t="n">
        <x:f>ROUND((F67-C67-IF(OR(D67="",E67=""),0,E67-D67))*1440,0)</x:f>
        <x:v>440</x:v>
      </x:c>
      <x:c r="L67" t="n">
        <x:v>440</x:v>
      </x:c>
      <x:c r="M67" t="n">
        <x:f>K67-L67</x:f>
        <x:v>0</x:v>
      </x:c>
      <x:c r="N67" t="n">
        <x:f>MAX(0,M67)</x:f>
        <x:v>0</x:v>
      </x:c>
      <x:c r="O67" t="n">
        <x:f>MAX(0,-M67)</x:f>
        <x:v>0</x:v>
      </x:c>
      <x:c r="P67" t="str">
        <x:v>Ponto registrado — complemento ilustrativo</x:v>
      </x:c>
      <x:c r="Q67" t="str">
        <x:v>Saída da CONFERÊNCIA DE CAIXA; entrada/intervalo simulados</x:v>
      </x:c>
      <x:c r="R67" t="str">
        <x:v>2025-05</x:v>
      </x:c>
    </x:row>
    <x:row r="68" ht="21" customHeight="1">
      <x:c r="A68" s="83" t="n">
        <x:v>45792</x:v>
      </x:c>
      <x:c r="B68" t="str">
        <x:v>quinta-feira</x:v>
      </x:c>
      <x:c r="C68" s="85" t="n">
        <x:v>0.5402777777777777</x:v>
      </x:c>
      <x:c r="D68" s="85" t="n">
        <x:v>0.6944444444444444</x:v>
      </x:c>
      <x:c r="E68" s="85" t="n">
        <x:v>0.7381944444444445</x:v>
      </x:c>
      <x:c r="F68" s="85" t="n">
        <x:v>0.8875</x:v>
      </x:c>
      <x:c r="G68" t="str">
        <x:f>TEXT(INT(K68/60),"00")&amp;":"&amp;TEXT(MOD(K68,60),"00")</x:f>
        <x:v>07:17</x:v>
      </x:c>
      <x:c r="H68" t="str">
        <x:f>TEXT(INT(L68/60),"00")&amp;":"&amp;TEXT(MOD(L68,60),"00")</x:f>
        <x:v>07:20</x:v>
      </x:c>
      <x:c r="I68" t="str">
        <x:f>IF(N68&gt;0,"+"&amp;TEXT(INT(N68/60),"00")&amp;":"&amp;TEXT(MOD(N68,60),"00"),"00:00")</x:f>
        <x:v>00:00</x:v>
      </x:c>
      <x:c r="J68" t="str">
        <x:f>IF(O68&gt;0,"-"&amp;TEXT(INT(O68/60),"00")&amp;":"&amp;TEXT(MOD(O68,60),"00"),"00:00")</x:f>
        <x:v>-00:03</x:v>
      </x:c>
      <x:c r="K68" t="n">
        <x:f>ROUND((F68-C68-IF(OR(D68="",E68=""),0,E68-D68))*1440,0)</x:f>
        <x:v>437</x:v>
      </x:c>
      <x:c r="L68" t="n">
        <x:v>440</x:v>
      </x:c>
      <x:c r="M68" t="n">
        <x:f>K68-L68</x:f>
        <x:v>-3</x:v>
      </x:c>
      <x:c r="N68" t="n">
        <x:f>MAX(0,M68)</x:f>
        <x:v>0</x:v>
      </x:c>
      <x:c r="O68" t="n">
        <x:f>MAX(0,-M68)</x:f>
        <x:v>3</x:v>
      </x:c>
      <x:c r="P68" t="str">
        <x:v>Ponto registrado — jornada revisada</x:v>
      </x:c>
      <x:c r="Q68" t="str">
        <x:v>Horários da planilha de jornadas revisada</x:v>
      </x:c>
      <x:c r="R68" t="str">
        <x:v>2025-05</x:v>
      </x:c>
    </x:row>
    <x:row r="69" ht="21" customHeight="1">
      <x:c r="A69" s="83" t="n">
        <x:v>45793</x:v>
      </x:c>
      <x:c r="B69" t="str">
        <x:v>sexta-feira</x:v>
      </x:c>
      <x:c r="C69" s="85" t="n">
        <x:v>0.54375</x:v>
      </x:c>
      <x:c r="D69" s="85" t="n">
        <x:v>0.6791666666666667</x:v>
      </x:c>
      <x:c r="E69" s="85" t="n">
        <x:v>0.7222222222222222</x:v>
      </x:c>
      <x:c r="F69" s="85" t="n">
        <x:v>0.8895833333333333</x:v>
      </x:c>
      <x:c r="G69" t="str">
        <x:f>TEXT(INT(K69/60),"00")&amp;":"&amp;TEXT(MOD(K69,60),"00")</x:f>
        <x:v>07:16</x:v>
      </x:c>
      <x:c r="H69" t="str">
        <x:f>TEXT(INT(L69/60),"00")&amp;":"&amp;TEXT(MOD(L69,60),"00")</x:f>
        <x:v>07:20</x:v>
      </x:c>
      <x:c r="I69" t="str">
        <x:f>IF(N69&gt;0,"+"&amp;TEXT(INT(N69/60),"00")&amp;":"&amp;TEXT(MOD(N69,60),"00"),"00:00")</x:f>
        <x:v>00:00</x:v>
      </x:c>
      <x:c r="J69" t="str">
        <x:f>IF(O69&gt;0,"-"&amp;TEXT(INT(O69/60),"00")&amp;":"&amp;TEXT(MOD(O69,60),"00"),"00:00")</x:f>
        <x:v>-00:04</x:v>
      </x:c>
      <x:c r="K69" t="n">
        <x:f>ROUND((F69-C69-IF(OR(D69="",E69=""),0,E69-D69))*1440,0)</x:f>
        <x:v>436</x:v>
      </x:c>
      <x:c r="L69" t="n">
        <x:v>440</x:v>
      </x:c>
      <x:c r="M69" t="n">
        <x:f>K69-L69</x:f>
        <x:v>-4</x:v>
      </x:c>
      <x:c r="N69" t="n">
        <x:f>MAX(0,M69)</x:f>
        <x:v>0</x:v>
      </x:c>
      <x:c r="O69" t="n">
        <x:f>MAX(0,-M69)</x:f>
        <x:v>4</x:v>
      </x:c>
      <x:c r="P69" t="str">
        <x:v>Ponto registrado — complemento ilustrativo</x:v>
      </x:c>
      <x:c r="Q69" t="str">
        <x:v>Saída da CONFERÊNCIA DE CAIXA; entrada/intervalo simulados</x:v>
      </x:c>
      <x:c r="R69" t="str">
        <x:v>2025-05</x:v>
      </x:c>
    </x:row>
    <x:row r="70" ht="21" customHeight="1">
      <x:c r="A70" s="83" t="n">
        <x:v>45794</x:v>
      </x:c>
      <x:c r="B70" t="str">
        <x:v>sábado</x:v>
      </x:c>
      <x:c r="C70" s="85" t="n">
        <x:v>0.5430555555555555</x:v>
      </x:c>
      <x:c r="D70" s="85"/>
      <x:c r="E70" s="85"/>
      <x:c r="F70" s="85" t="n">
        <x:v>0.7027777777777777</x:v>
      </x:c>
      <x:c r="G70" t="str">
        <x:f>TEXT(INT(K70/60),"00")&amp;":"&amp;TEXT(MOD(K70,60),"00")</x:f>
        <x:v>03:50</x:v>
      </x:c>
      <x:c r="H70" t="str">
        <x:f>TEXT(INT(L70/60),"00")&amp;":"&amp;TEXT(MOD(L70,60),"00")</x:f>
        <x:v>04:00</x:v>
      </x:c>
      <x:c r="I70" t="str">
        <x:f>IF(N70&gt;0,"+"&amp;TEXT(INT(N70/60),"00")&amp;":"&amp;TEXT(MOD(N70,60),"00"),"00:00")</x:f>
        <x:v>00:00</x:v>
      </x:c>
      <x:c r="J70" t="str">
        <x:f>IF(O70&gt;0,"-"&amp;TEXT(INT(O70/60),"00")&amp;":"&amp;TEXT(MOD(O70,60),"00"),"00:00")</x:f>
        <x:v>-00:10</x:v>
      </x:c>
      <x:c r="K70" t="n">
        <x:f>ROUND((F70-C70-IF(OR(D70="",E70=""),0,E70-D70))*1440,0)</x:f>
        <x:v>230</x:v>
      </x:c>
      <x:c r="L70" t="n">
        <x:v>240</x:v>
      </x:c>
      <x:c r="M70" t="n">
        <x:f>K70-L70</x:f>
        <x:v>-10</x:v>
      </x:c>
      <x:c r="N70" t="n">
        <x:f>MAX(0,M70)</x:f>
        <x:v>0</x:v>
      </x:c>
      <x:c r="O70" t="n">
        <x:f>MAX(0,-M70)</x:f>
        <x:v>10</x:v>
      </x:c>
      <x:c r="P70" t="str">
        <x:v>Ponto registrado — complemento ilustrativo</x:v>
      </x:c>
      <x:c r="Q70" t="str">
        <x:v>Saída da CONFERÊNCIA DE CAIXA; entrada/intervalo simulados</x:v>
      </x:c>
      <x:c r="R70" t="str">
        <x:v>2025-05</x:v>
      </x:c>
    </x:row>
    <x:row r="71" ht="21" customHeight="1">
      <x:c r="A71" s="83" t="n">
        <x:v>45796</x:v>
      </x:c>
      <x:c r="B71" t="str">
        <x:v>segunda-feira</x:v>
      </x:c>
      <x:c r="C71" s="85" t="n">
        <x:v>0.5430555555555555</x:v>
      </x:c>
      <x:c r="D71" s="85" t="n">
        <x:v>0.6805555555555556</x:v>
      </x:c>
      <x:c r="E71" s="85" t="n">
        <x:v>0.725</x:v>
      </x:c>
      <x:c r="F71" s="85" t="n">
        <x:v>0.8902777777777777</x:v>
      </x:c>
      <x:c r="G71" t="str">
        <x:f>TEXT(INT(K71/60),"00")&amp;":"&amp;TEXT(MOD(K71,60),"00")</x:f>
        <x:v>07:16</x:v>
      </x:c>
      <x:c r="H71" t="str">
        <x:f>TEXT(INT(L71/60),"00")&amp;":"&amp;TEXT(MOD(L71,60),"00")</x:f>
        <x:v>07:20</x:v>
      </x:c>
      <x:c r="I71" t="str">
        <x:f>IF(N71&gt;0,"+"&amp;TEXT(INT(N71/60),"00")&amp;":"&amp;TEXT(MOD(N71,60),"00"),"00:00")</x:f>
        <x:v>00:00</x:v>
      </x:c>
      <x:c r="J71" t="str">
        <x:f>IF(O71&gt;0,"-"&amp;TEXT(INT(O71/60),"00")&amp;":"&amp;TEXT(MOD(O71,60),"00"),"00:00")</x:f>
        <x:v>-00:04</x:v>
      </x:c>
      <x:c r="K71" t="n">
        <x:f>ROUND((F71-C71-IF(OR(D71="",E71=""),0,E71-D71))*1440,0)</x:f>
        <x:v>436</x:v>
      </x:c>
      <x:c r="L71" t="n">
        <x:v>440</x:v>
      </x:c>
      <x:c r="M71" t="n">
        <x:f>K71-L71</x:f>
        <x:v>-4</x:v>
      </x:c>
      <x:c r="N71" t="n">
        <x:f>MAX(0,M71)</x:f>
        <x:v>0</x:v>
      </x:c>
      <x:c r="O71" t="n">
        <x:f>MAX(0,-M71)</x:f>
        <x:v>4</x:v>
      </x:c>
      <x:c r="P71" t="str">
        <x:v>Ponto registrado — complemento ilustrativo</x:v>
      </x:c>
      <x:c r="Q71" t="str">
        <x:v>Saída da CONFERÊNCIA DE CAIXA; entrada/intervalo simulados</x:v>
      </x:c>
      <x:c r="R71" t="str">
        <x:v>2025-05</x:v>
      </x:c>
    </x:row>
    <x:row r="72" ht="21" customHeight="1">
      <x:c r="A72" s="83" t="n">
        <x:v>45797</x:v>
      </x:c>
      <x:c r="B72" t="str">
        <x:v>terça-feira</x:v>
      </x:c>
      <x:c r="C72" s="85" t="n">
        <x:v>0.54375</x:v>
      </x:c>
      <x:c r="D72" s="85" t="n">
        <x:v>0.6791666666666667</x:v>
      </x:c>
      <x:c r="E72" s="85" t="n">
        <x:v>0.7229166666666667</x:v>
      </x:c>
      <x:c r="F72" s="85" t="n">
        <x:v>0.8909722222222223</x:v>
      </x:c>
      <x:c r="G72" t="str">
        <x:f>TEXT(INT(K72/60),"00")&amp;":"&amp;TEXT(MOD(K72,60),"00")</x:f>
        <x:v>07:17</x:v>
      </x:c>
      <x:c r="H72" t="str">
        <x:f>TEXT(INT(L72/60),"00")&amp;":"&amp;TEXT(MOD(L72,60),"00")</x:f>
        <x:v>07:20</x:v>
      </x:c>
      <x:c r="I72" t="str">
        <x:f>IF(N72&gt;0,"+"&amp;TEXT(INT(N72/60),"00")&amp;":"&amp;TEXT(MOD(N72,60),"00"),"00:00")</x:f>
        <x:v>00:00</x:v>
      </x:c>
      <x:c r="J72" t="str">
        <x:f>IF(O72&gt;0,"-"&amp;TEXT(INT(O72/60),"00")&amp;":"&amp;TEXT(MOD(O72,60),"00"),"00:00")</x:f>
        <x:v>-00:03</x:v>
      </x:c>
      <x:c r="K72" t="n">
        <x:f>ROUND((F72-C72-IF(OR(D72="",E72=""),0,E72-D72))*1440,0)</x:f>
        <x:v>437</x:v>
      </x:c>
      <x:c r="L72" t="n">
        <x:v>440</x:v>
      </x:c>
      <x:c r="M72" t="n">
        <x:f>K72-L72</x:f>
        <x:v>-3</x:v>
      </x:c>
      <x:c r="N72" t="n">
        <x:f>MAX(0,M72)</x:f>
        <x:v>0</x:v>
      </x:c>
      <x:c r="O72" t="n">
        <x:f>MAX(0,-M72)</x:f>
        <x:v>3</x:v>
      </x:c>
      <x:c r="P72" t="str">
        <x:v>Ponto registrado — complemento ilustrativo</x:v>
      </x:c>
      <x:c r="Q72" t="str">
        <x:v>Saída da CONFERÊNCIA DE CAIXA; entrada/intervalo simulados</x:v>
      </x:c>
      <x:c r="R72" t="str">
        <x:v>2025-05</x:v>
      </x:c>
    </x:row>
    <x:row r="73" ht="21" customHeight="1">
      <x:c r="A73" s="83" t="n">
        <x:v>45798</x:v>
      </x:c>
      <x:c r="B73" t="str">
        <x:v>quarta-feira</x:v>
      </x:c>
      <x:c r="C73" s="85" t="n">
        <x:v>0.5472222222222223</x:v>
      </x:c>
      <x:c r="D73" s="85" t="n">
        <x:v>0.6680555555555555</x:v>
      </x:c>
      <x:c r="E73" s="85" t="n">
        <x:v>0.7111111111111111</x:v>
      </x:c>
      <x:c r="F73" s="85" t="n">
        <x:v>0.8881944444444444</x:v>
      </x:c>
      <x:c r="G73" t="str">
        <x:f>TEXT(INT(K73/60),"00")&amp;":"&amp;TEXT(MOD(K73,60),"00")</x:f>
        <x:v>07:09</x:v>
      </x:c>
      <x:c r="H73" t="str">
        <x:f>TEXT(INT(L73/60),"00")&amp;":"&amp;TEXT(MOD(L73,60),"00")</x:f>
        <x:v>07:20</x:v>
      </x:c>
      <x:c r="I73" t="str">
        <x:f>IF(N73&gt;0,"+"&amp;TEXT(INT(N73/60),"00")&amp;":"&amp;TEXT(MOD(N73,60),"00"),"00:00")</x:f>
        <x:v>00:00</x:v>
      </x:c>
      <x:c r="J73" t="str">
        <x:f>IF(O73&gt;0,"-"&amp;TEXT(INT(O73/60),"00")&amp;":"&amp;TEXT(MOD(O73,60),"00"),"00:00")</x:f>
        <x:v>-00:11</x:v>
      </x:c>
      <x:c r="K73" t="n">
        <x:f>ROUND((F73-C73-IF(OR(D73="",E73=""),0,E73-D73))*1440,0)</x:f>
        <x:v>429</x:v>
      </x:c>
      <x:c r="L73" t="n">
        <x:v>440</x:v>
      </x:c>
      <x:c r="M73" t="n">
        <x:f>K73-L73</x:f>
        <x:v>-11</x:v>
      </x:c>
      <x:c r="N73" t="n">
        <x:f>MAX(0,M73)</x:f>
        <x:v>0</x:v>
      </x:c>
      <x:c r="O73" t="n">
        <x:f>MAX(0,-M73)</x:f>
        <x:v>11</x:v>
      </x:c>
      <x:c r="P73" t="str">
        <x:v>Ponto registrado — complemento ilustrativo</x:v>
      </x:c>
      <x:c r="Q73" t="str">
        <x:v>Saída da CONFERÊNCIA DE CAIXA; entrada/intervalo simulados</x:v>
      </x:c>
      <x:c r="R73" t="str">
        <x:v>2025-05</x:v>
      </x:c>
    </x:row>
    <x:row r="74" ht="21" customHeight="1">
      <x:c r="A74" s="83" t="n">
        <x:v>45799</x:v>
      </x:c>
      <x:c r="B74" t="str">
        <x:v>quinta-feira</x:v>
      </x:c>
      <x:c r="C74" s="85" t="n">
        <x:v>0.5465277777777777</x:v>
      </x:c>
      <x:c r="D74" s="85" t="n">
        <x:v>0.6666666666666666</x:v>
      </x:c>
      <x:c r="E74" s="85" t="n">
        <x:v>0.7069444444444445</x:v>
      </x:c>
      <x:c r="F74" s="85" t="n">
        <x:v>0.8881944444444444</x:v>
      </x:c>
      <x:c r="G74" t="str">
        <x:f>TEXT(INT(K74/60),"00")&amp;":"&amp;TEXT(MOD(K74,60),"00")</x:f>
        <x:v>07:14</x:v>
      </x:c>
      <x:c r="H74" t="str">
        <x:f>TEXT(INT(L74/60),"00")&amp;":"&amp;TEXT(MOD(L74,60),"00")</x:f>
        <x:v>07:20</x:v>
      </x:c>
      <x:c r="I74" t="str">
        <x:f>IF(N74&gt;0,"+"&amp;TEXT(INT(N74/60),"00")&amp;":"&amp;TEXT(MOD(N74,60),"00"),"00:00")</x:f>
        <x:v>00:00</x:v>
      </x:c>
      <x:c r="J74" t="str">
        <x:f>IF(O74&gt;0,"-"&amp;TEXT(INT(O74/60),"00")&amp;":"&amp;TEXT(MOD(O74,60),"00"),"00:00")</x:f>
        <x:v>-00:06</x:v>
      </x:c>
      <x:c r="K74" t="n">
        <x:f>ROUND((F74-C74-IF(OR(D74="",E74=""),0,E74-D74))*1440,0)</x:f>
        <x:v>434</x:v>
      </x:c>
      <x:c r="L74" t="n">
        <x:v>440</x:v>
      </x:c>
      <x:c r="M74" t="n">
        <x:f>K74-L74</x:f>
        <x:v>-6</x:v>
      </x:c>
      <x:c r="N74" t="n">
        <x:f>MAX(0,M74)</x:f>
        <x:v>0</x:v>
      </x:c>
      <x:c r="O74" t="n">
        <x:f>MAX(0,-M74)</x:f>
        <x:v>6</x:v>
      </x:c>
      <x:c r="P74" t="str">
        <x:v>Ponto registrado — complemento ilustrativo</x:v>
      </x:c>
      <x:c r="Q74" t="str">
        <x:v>Saída da CONFERÊNCIA DE CAIXA; entrada/intervalo simulados</x:v>
      </x:c>
      <x:c r="R74" t="str">
        <x:v>2025-05</x:v>
      </x:c>
    </x:row>
    <x:row r="75" ht="21" customHeight="1">
      <x:c r="A75" s="83" t="n">
        <x:v>45800</x:v>
      </x:c>
      <x:c r="B75" t="str">
        <x:v>sexta-feira</x:v>
      </x:c>
      <x:c r="C75" s="85" t="n">
        <x:v>0.5458333333333333</x:v>
      </x:c>
      <x:c r="D75" s="85" t="n">
        <x:v>0.68125</x:v>
      </x:c>
      <x:c r="E75" s="85" t="n">
        <x:v>0.7256944444444444</x:v>
      </x:c>
      <x:c r="F75" s="85" t="n">
        <x:v>0.8881944444444444</x:v>
      </x:c>
      <x:c r="G75" t="str">
        <x:f>TEXT(INT(K75/60),"00")&amp;":"&amp;TEXT(MOD(K75,60),"00")</x:f>
        <x:v>07:09</x:v>
      </x:c>
      <x:c r="H75" t="str">
        <x:f>TEXT(INT(L75/60),"00")&amp;":"&amp;TEXT(MOD(L75,60),"00")</x:f>
        <x:v>07:20</x:v>
      </x:c>
      <x:c r="I75" t="str">
        <x:f>IF(N75&gt;0,"+"&amp;TEXT(INT(N75/60),"00")&amp;":"&amp;TEXT(MOD(N75,60),"00"),"00:00")</x:f>
        <x:v>00:00</x:v>
      </x:c>
      <x:c r="J75" t="str">
        <x:f>IF(O75&gt;0,"-"&amp;TEXT(INT(O75/60),"00")&amp;":"&amp;TEXT(MOD(O75,60),"00"),"00:00")</x:f>
        <x:v>-00:11</x:v>
      </x:c>
      <x:c r="K75" t="n">
        <x:f>ROUND((F75-C75-IF(OR(D75="",E75=""),0,E75-D75))*1440,0)</x:f>
        <x:v>429</x:v>
      </x:c>
      <x:c r="L75" t="n">
        <x:v>440</x:v>
      </x:c>
      <x:c r="M75" t="n">
        <x:f>K75-L75</x:f>
        <x:v>-11</x:v>
      </x:c>
      <x:c r="N75" t="n">
        <x:f>MAX(0,M75)</x:f>
        <x:v>0</x:v>
      </x:c>
      <x:c r="O75" t="n">
        <x:f>MAX(0,-M75)</x:f>
        <x:v>11</x:v>
      </x:c>
      <x:c r="P75" t="str">
        <x:v>Ponto registrado — complemento ilustrativo</x:v>
      </x:c>
      <x:c r="Q75" t="str">
        <x:v>Saída da CONFERÊNCIA DE CAIXA; entrada/intervalo simulados</x:v>
      </x:c>
      <x:c r="R75" t="str">
        <x:v>2025-05</x:v>
      </x:c>
    </x:row>
    <x:row r="76" ht="21" customHeight="1">
      <x:c r="A76" s="83" t="n">
        <x:v>45801</x:v>
      </x:c>
      <x:c r="B76" t="str">
        <x:v>sábado</x:v>
      </x:c>
      <x:c r="C76" s="85" t="n">
        <x:v>0.5381944444444444</x:v>
      </x:c>
      <x:c r="D76" s="85"/>
      <x:c r="E76" s="85"/>
      <x:c r="F76" s="85" t="n">
        <x:v>0.7027777777777777</x:v>
      </x:c>
      <x:c r="G76" t="str">
        <x:f>TEXT(INT(K76/60),"00")&amp;":"&amp;TEXT(MOD(K76,60),"00")</x:f>
        <x:v>03:57</x:v>
      </x:c>
      <x:c r="H76" t="str">
        <x:f>TEXT(INT(L76/60),"00")&amp;":"&amp;TEXT(MOD(L76,60),"00")</x:f>
        <x:v>04:00</x:v>
      </x:c>
      <x:c r="I76" t="str">
        <x:f>IF(N76&gt;0,"+"&amp;TEXT(INT(N76/60),"00")&amp;":"&amp;TEXT(MOD(N76,60),"00"),"00:00")</x:f>
        <x:v>00:00</x:v>
      </x:c>
      <x:c r="J76" t="str">
        <x:f>IF(O76&gt;0,"-"&amp;TEXT(INT(O76/60),"00")&amp;":"&amp;TEXT(MOD(O76,60),"00"),"00:00")</x:f>
        <x:v>-00:03</x:v>
      </x:c>
      <x:c r="K76" t="n">
        <x:f>ROUND((F76-C76-IF(OR(D76="",E76=""),0,E76-D76))*1440,0)</x:f>
        <x:v>237</x:v>
      </x:c>
      <x:c r="L76" t="n">
        <x:v>240</x:v>
      </x:c>
      <x:c r="M76" t="n">
        <x:f>K76-L76</x:f>
        <x:v>-3</x:v>
      </x:c>
      <x:c r="N76" t="n">
        <x:f>MAX(0,M76)</x:f>
        <x:v>0</x:v>
      </x:c>
      <x:c r="O76" t="n">
        <x:f>MAX(0,-M76)</x:f>
        <x:v>3</x:v>
      </x:c>
      <x:c r="P76" t="str">
        <x:v>Ponto registrado — complemento ilustrativo</x:v>
      </x:c>
      <x:c r="Q76" t="str">
        <x:v>Saída da CONFERÊNCIA DE CAIXA; entrada/intervalo simulados</x:v>
      </x:c>
      <x:c r="R76" t="str">
        <x:v>2025-05</x:v>
      </x:c>
    </x:row>
    <x:row r="77" ht="21" customHeight="1">
      <x:c r="A77" s="83" t="n">
        <x:v>45803</x:v>
      </x:c>
      <x:c r="B77" t="str">
        <x:v>segunda-feira</x:v>
      </x:c>
      <x:c r="C77" s="85" t="n">
        <x:v>0.5430555555555555</x:v>
      </x:c>
      <x:c r="D77" s="85" t="n">
        <x:v>0.6743055555555556</x:v>
      </x:c>
      <x:c r="E77" s="85" t="n">
        <x:v>0.7173611111111111</x:v>
      </x:c>
      <x:c r="F77" s="85" t="n">
        <x:v>0.8888888888888888</x:v>
      </x:c>
      <x:c r="G77" t="str">
        <x:f>TEXT(INT(K77/60),"00")&amp;":"&amp;TEXT(MOD(K77,60),"00")</x:f>
        <x:v>07:16</x:v>
      </x:c>
      <x:c r="H77" t="str">
        <x:f>TEXT(INT(L77/60),"00")&amp;":"&amp;TEXT(MOD(L77,60),"00")</x:f>
        <x:v>07:20</x:v>
      </x:c>
      <x:c r="I77" t="str">
        <x:f>IF(N77&gt;0,"+"&amp;TEXT(INT(N77/60),"00")&amp;":"&amp;TEXT(MOD(N77,60),"00"),"00:00")</x:f>
        <x:v>00:00</x:v>
      </x:c>
      <x:c r="J77" t="str">
        <x:f>IF(O77&gt;0,"-"&amp;TEXT(INT(O77/60),"00")&amp;":"&amp;TEXT(MOD(O77,60),"00"),"00:00")</x:f>
        <x:v>-00:04</x:v>
      </x:c>
      <x:c r="K77" t="n">
        <x:f>ROUND((F77-C77-IF(OR(D77="",E77=""),0,E77-D77))*1440,0)</x:f>
        <x:v>436</x:v>
      </x:c>
      <x:c r="L77" t="n">
        <x:v>440</x:v>
      </x:c>
      <x:c r="M77" t="n">
        <x:f>K77-L77</x:f>
        <x:v>-4</x:v>
      </x:c>
      <x:c r="N77" t="n">
        <x:f>MAX(0,M77)</x:f>
        <x:v>0</x:v>
      </x:c>
      <x:c r="O77" t="n">
        <x:f>MAX(0,-M77)</x:f>
        <x:v>4</x:v>
      </x:c>
      <x:c r="P77" t="str">
        <x:v>Ponto registrado — complemento ilustrativo</x:v>
      </x:c>
      <x:c r="Q77" t="str">
        <x:v>Saída da CONFERÊNCIA DE CAIXA; entrada/intervalo simulados</x:v>
      </x:c>
      <x:c r="R77" t="str">
        <x:v>2025-05</x:v>
      </x:c>
    </x:row>
    <x:row r="78" ht="21" customHeight="1">
      <x:c r="A78" s="83" t="n">
        <x:v>45804</x:v>
      </x:c>
      <x:c r="B78" t="str">
        <x:v>terça-feira</x:v>
      </x:c>
      <x:c r="C78" s="85" t="n">
        <x:v>0.5430555555555555</x:v>
      </x:c>
      <x:c r="D78" s="85" t="n">
        <x:v>0.6680555555555555</x:v>
      </x:c>
      <x:c r="E78" s="85" t="n">
        <x:v>0.7090277777777778</x:v>
      </x:c>
      <x:c r="F78" s="85" t="n">
        <x:v>0.8902777777777777</x:v>
      </x:c>
      <x:c r="G78" t="str">
        <x:f>TEXT(INT(K78/60),"00")&amp;":"&amp;TEXT(MOD(K78,60),"00")</x:f>
        <x:v>07:21</x:v>
      </x:c>
      <x:c r="H78" t="str">
        <x:f>TEXT(INT(L78/60),"00")&amp;":"&amp;TEXT(MOD(L78,60),"00")</x:f>
        <x:v>07:20</x:v>
      </x:c>
      <x:c r="I78" t="str">
        <x:f>IF(N78&gt;0,"+"&amp;TEXT(INT(N78/60),"00")&amp;":"&amp;TEXT(MOD(N78,60),"00"),"00:00")</x:f>
        <x:v>+00:01</x:v>
      </x:c>
      <x:c r="J78" t="str">
        <x:f>IF(O78&gt;0,"-"&amp;TEXT(INT(O78/60),"00")&amp;":"&amp;TEXT(MOD(O78,60),"00"),"00:00")</x:f>
        <x:v>00:00</x:v>
      </x:c>
      <x:c r="K78" t="n">
        <x:f>ROUND((F78-C78-IF(OR(D78="",E78=""),0,E78-D78))*1440,0)</x:f>
        <x:v>441</x:v>
      </x:c>
      <x:c r="L78" t="n">
        <x:v>440</x:v>
      </x:c>
      <x:c r="M78" t="n">
        <x:f>K78-L78</x:f>
        <x:v>1</x:v>
      </x:c>
      <x:c r="N78" t="n">
        <x:f>MAX(0,M78)</x:f>
        <x:v>1</x:v>
      </x:c>
      <x:c r="O78" t="n">
        <x:f>MAX(0,-M78)</x:f>
        <x:v>0</x:v>
      </x:c>
      <x:c r="P78" t="str">
        <x:v>Ponto registrado — complemento ilustrativo</x:v>
      </x:c>
      <x:c r="Q78" t="str">
        <x:v>Saída da CONFERÊNCIA DE CAIXA; entrada/intervalo simulados</x:v>
      </x:c>
      <x:c r="R78" t="str">
        <x:v>2025-05</x:v>
      </x:c>
    </x:row>
    <x:row r="79" ht="21" customHeight="1">
      <x:c r="A79" s="83" t="n">
        <x:v>45805</x:v>
      </x:c>
      <x:c r="B79" t="str">
        <x:v>quarta-feira</x:v>
      </x:c>
      <x:c r="C79" s="85" t="n">
        <x:v>0.5395833333333333</x:v>
      </x:c>
      <x:c r="D79" s="85" t="n">
        <x:v>0.6840277777777778</x:v>
      </x:c>
      <x:c r="E79" s="85" t="n">
        <x:v>0.7229166666666667</x:v>
      </x:c>
      <x:c r="F79" s="85" t="n">
        <x:v>0.8888888888888888</x:v>
      </x:c>
      <x:c r="G79" t="str">
        <x:f>TEXT(INT(K79/60),"00")&amp;":"&amp;TEXT(MOD(K79,60),"00")</x:f>
        <x:v>07:27</x:v>
      </x:c>
      <x:c r="H79" t="str">
        <x:f>TEXT(INT(L79/60),"00")&amp;":"&amp;TEXT(MOD(L79,60),"00")</x:f>
        <x:v>07:20</x:v>
      </x:c>
      <x:c r="I79" t="str">
        <x:f>IF(N79&gt;0,"+"&amp;TEXT(INT(N79/60),"00")&amp;":"&amp;TEXT(MOD(N79,60),"00"),"00:00")</x:f>
        <x:v>+00:07</x:v>
      </x:c>
      <x:c r="J79" t="str">
        <x:f>IF(O79&gt;0,"-"&amp;TEXT(INT(O79/60),"00")&amp;":"&amp;TEXT(MOD(O79,60),"00"),"00:00")</x:f>
        <x:v>00:00</x:v>
      </x:c>
      <x:c r="K79" t="n">
        <x:f>ROUND((F79-C79-IF(OR(D79="",E79=""),0,E79-D79))*1440,0)</x:f>
        <x:v>447</x:v>
      </x:c>
      <x:c r="L79" t="n">
        <x:v>440</x:v>
      </x:c>
      <x:c r="M79" t="n">
        <x:f>K79-L79</x:f>
        <x:v>7</x:v>
      </x:c>
      <x:c r="N79" t="n">
        <x:f>MAX(0,M79)</x:f>
        <x:v>7</x:v>
      </x:c>
      <x:c r="O79" t="n">
        <x:f>MAX(0,-M79)</x:f>
        <x:v>0</x:v>
      </x:c>
      <x:c r="P79" t="str">
        <x:v>Ponto registrado — jornada revisada</x:v>
      </x:c>
      <x:c r="Q79" t="str">
        <x:v>Horários da planilha de jornadas revisada</x:v>
      </x:c>
      <x:c r="R79" t="str">
        <x:v>2025-05</x:v>
      </x:c>
    </x:row>
    <x:row r="80" ht="21" customHeight="1">
      <x:c r="A80" s="83" t="n">
        <x:v>45806</x:v>
      </x:c>
      <x:c r="B80" t="str">
        <x:v>quinta-feira</x:v>
      </x:c>
      <x:c r="C80" s="85" t="n">
        <x:v>0.5472222222222223</x:v>
      </x:c>
      <x:c r="D80" s="85" t="n">
        <x:v>0.68125</x:v>
      </x:c>
      <x:c r="E80" s="85" t="n">
        <x:v>0.7243055555555555</x:v>
      </x:c>
      <x:c r="F80" s="85" t="n">
        <x:v>0.8902777777777777</x:v>
      </x:c>
      <x:c r="G80" t="str">
        <x:f>TEXT(INT(K80/60),"00")&amp;":"&amp;TEXT(MOD(K80,60),"00")</x:f>
        <x:v>07:12</x:v>
      </x:c>
      <x:c r="H80" t="str">
        <x:f>TEXT(INT(L80/60),"00")&amp;":"&amp;TEXT(MOD(L80,60),"00")</x:f>
        <x:v>07:20</x:v>
      </x:c>
      <x:c r="I80" t="str">
        <x:f>IF(N80&gt;0,"+"&amp;TEXT(INT(N80/60),"00")&amp;":"&amp;TEXT(MOD(N80,60),"00"),"00:00")</x:f>
        <x:v>00:00</x:v>
      </x:c>
      <x:c r="J80" t="str">
        <x:f>IF(O80&gt;0,"-"&amp;TEXT(INT(O80/60),"00")&amp;":"&amp;TEXT(MOD(O80,60),"00"),"00:00")</x:f>
        <x:v>-00:08</x:v>
      </x:c>
      <x:c r="K80" t="n">
        <x:f>ROUND((F80-C80-IF(OR(D80="",E80=""),0,E80-D80))*1440,0)</x:f>
        <x:v>432</x:v>
      </x:c>
      <x:c r="L80" t="n">
        <x:v>440</x:v>
      </x:c>
      <x:c r="M80" t="n">
        <x:f>K80-L80</x:f>
        <x:v>-8</x:v>
      </x:c>
      <x:c r="N80" t="n">
        <x:f>MAX(0,M80)</x:f>
        <x:v>0</x:v>
      </x:c>
      <x:c r="O80" t="n">
        <x:f>MAX(0,-M80)</x:f>
        <x:v>8</x:v>
      </x:c>
      <x:c r="P80" t="str">
        <x:v>Ponto registrado — complemento ilustrativo</x:v>
      </x:c>
      <x:c r="Q80" t="str">
        <x:v>Saída da CONFERÊNCIA DE CAIXA; entrada/intervalo simulados</x:v>
      </x:c>
      <x:c r="R80" t="str">
        <x:v>2025-05</x:v>
      </x:c>
    </x:row>
    <x:row r="81" ht="21" customHeight="1">
      <x:c r="A81" s="83" t="n">
        <x:v>45807</x:v>
      </x:c>
      <x:c r="B81" t="str">
        <x:v>sexta-feira</x:v>
      </x:c>
      <x:c r="C81" s="85" t="n">
        <x:v>0.5458333333333333</x:v>
      </x:c>
      <x:c r="D81" s="85" t="n">
        <x:v>0.6680555555555555</x:v>
      </x:c>
      <x:c r="E81" s="85" t="n">
        <x:v>0.7090277777777778</x:v>
      </x:c>
      <x:c r="F81" s="85" t="n">
        <x:v>0.8888888888888888</x:v>
      </x:c>
      <x:c r="G81" t="str">
        <x:f>TEXT(INT(K81/60),"00")&amp;":"&amp;TEXT(MOD(K81,60),"00")</x:f>
        <x:v>07:15</x:v>
      </x:c>
      <x:c r="H81" t="str">
        <x:f>TEXT(INT(L81/60),"00")&amp;":"&amp;TEXT(MOD(L81,60),"00")</x:f>
        <x:v>07:20</x:v>
      </x:c>
      <x:c r="I81" t="str">
        <x:f>IF(N81&gt;0,"+"&amp;TEXT(INT(N81/60),"00")&amp;":"&amp;TEXT(MOD(N81,60),"00"),"00:00")</x:f>
        <x:v>00:00</x:v>
      </x:c>
      <x:c r="J81" t="str">
        <x:f>IF(O81&gt;0,"-"&amp;TEXT(INT(O81/60),"00")&amp;":"&amp;TEXT(MOD(O81,60),"00"),"00:00")</x:f>
        <x:v>-00:05</x:v>
      </x:c>
      <x:c r="K81" t="n">
        <x:f>ROUND((F81-C81-IF(OR(D81="",E81=""),0,E81-D81))*1440,0)</x:f>
        <x:v>435</x:v>
      </x:c>
      <x:c r="L81" t="n">
        <x:v>440</x:v>
      </x:c>
      <x:c r="M81" t="n">
        <x:f>K81-L81</x:f>
        <x:v>-5</x:v>
      </x:c>
      <x:c r="N81" t="n">
        <x:f>MAX(0,M81)</x:f>
        <x:v>0</x:v>
      </x:c>
      <x:c r="O81" t="n">
        <x:f>MAX(0,-M81)</x:f>
        <x:v>5</x:v>
      </x:c>
      <x:c r="P81" t="str">
        <x:v>Ponto registrado — complemento ilustrativo</x:v>
      </x:c>
      <x:c r="Q81" t="str">
        <x:v>Saída da CONFERÊNCIA DE CAIXA; entrada/intervalo simulados</x:v>
      </x:c>
      <x:c r="R81" t="str">
        <x:v>2025-05</x:v>
      </x:c>
    </x:row>
    <x:row r="82" ht="21" customHeight="1">
      <x:c r="A82" s="83" t="n">
        <x:v>45808</x:v>
      </x:c>
      <x:c r="B82" t="str">
        <x:v>sábado</x:v>
      </x:c>
      <x:c r="C82" s="85" t="n">
        <x:v>0.54375</x:v>
      </x:c>
      <x:c r="D82" s="85"/>
      <x:c r="E82" s="85"/>
      <x:c r="F82" s="85" t="n">
        <x:v>0.7034722222222223</x:v>
      </x:c>
      <x:c r="G82" t="str">
        <x:f>TEXT(INT(K82/60),"00")&amp;":"&amp;TEXT(MOD(K82,60),"00")</x:f>
        <x:v>03:50</x:v>
      </x:c>
      <x:c r="H82" t="str">
        <x:f>TEXT(INT(L82/60),"00")&amp;":"&amp;TEXT(MOD(L82,60),"00")</x:f>
        <x:v>04:00</x:v>
      </x:c>
      <x:c r="I82" t="str">
        <x:f>IF(N82&gt;0,"+"&amp;TEXT(INT(N82/60),"00")&amp;":"&amp;TEXT(MOD(N82,60),"00"),"00:00")</x:f>
        <x:v>00:00</x:v>
      </x:c>
      <x:c r="J82" t="str">
        <x:f>IF(O82&gt;0,"-"&amp;TEXT(INT(O82/60),"00")&amp;":"&amp;TEXT(MOD(O82,60),"00"),"00:00")</x:f>
        <x:v>-00:10</x:v>
      </x:c>
      <x:c r="K82" t="n">
        <x:f>ROUND((F82-C82-IF(OR(D82="",E82=""),0,E82-D82))*1440,0)</x:f>
        <x:v>230</x:v>
      </x:c>
      <x:c r="L82" t="n">
        <x:v>240</x:v>
      </x:c>
      <x:c r="M82" t="n">
        <x:f>K82-L82</x:f>
        <x:v>-10</x:v>
      </x:c>
      <x:c r="N82" t="n">
        <x:f>MAX(0,M82)</x:f>
        <x:v>0</x:v>
      </x:c>
      <x:c r="O82" t="n">
        <x:f>MAX(0,-M82)</x:f>
        <x:v>10</x:v>
      </x:c>
      <x:c r="P82" t="str">
        <x:v>Ponto registrado — complemento ilustrativo</x:v>
      </x:c>
      <x:c r="Q82" t="str">
        <x:v>Saída da CONFERÊNCIA DE CAIXA; entrada/intervalo simulados</x:v>
      </x:c>
      <x:c r="R82" t="str">
        <x:v>2025-05</x:v>
      </x:c>
    </x:row>
    <x:row r="83" ht="21" customHeight="1">
      <x:c r="A83" s="83" t="n">
        <x:v>45810</x:v>
      </x:c>
      <x:c r="B83" t="str">
        <x:v>segunda-feira</x:v>
      </x:c>
      <x:c r="C83" s="85" t="n">
        <x:v>0.5458333333333333</x:v>
      </x:c>
      <x:c r="D83" s="85" t="n">
        <x:v>0.6798611111111111</x:v>
      </x:c>
      <x:c r="E83" s="85" t="n">
        <x:v>0.7201388888888889</x:v>
      </x:c>
      <x:c r="F83" s="85" t="n">
        <x:v>0.8868055555555555</x:v>
      </x:c>
      <x:c r="G83" t="str">
        <x:f>TEXT(INT(K83/60),"00")&amp;":"&amp;TEXT(MOD(K83,60),"00")</x:f>
        <x:v>07:13</x:v>
      </x:c>
      <x:c r="H83" t="str">
        <x:f>TEXT(INT(L83/60),"00")&amp;":"&amp;TEXT(MOD(L83,60),"00")</x:f>
        <x:v>07:20</x:v>
      </x:c>
      <x:c r="I83" t="str">
        <x:f>IF(N83&gt;0,"+"&amp;TEXT(INT(N83/60),"00")&amp;":"&amp;TEXT(MOD(N83,60),"00"),"00:00")</x:f>
        <x:v>00:00</x:v>
      </x:c>
      <x:c r="J83" t="str">
        <x:f>IF(O83&gt;0,"-"&amp;TEXT(INT(O83/60),"00")&amp;":"&amp;TEXT(MOD(O83,60),"00"),"00:00")</x:f>
        <x:v>-00:07</x:v>
      </x:c>
      <x:c r="K83" t="n">
        <x:f>ROUND((F83-C83-IF(OR(D83="",E83=""),0,E83-D83))*1440,0)</x:f>
        <x:v>433</x:v>
      </x:c>
      <x:c r="L83" t="n">
        <x:v>440</x:v>
      </x:c>
      <x:c r="M83" t="n">
        <x:f>K83-L83</x:f>
        <x:v>-7</x:v>
      </x:c>
      <x:c r="N83" t="n">
        <x:f>MAX(0,M83)</x:f>
        <x:v>0</x:v>
      </x:c>
      <x:c r="O83" t="n">
        <x:f>MAX(0,-M83)</x:f>
        <x:v>7</x:v>
      </x:c>
      <x:c r="P83" t="str">
        <x:v>Ponto registrado — complemento ilustrativo</x:v>
      </x:c>
      <x:c r="Q83" t="str">
        <x:v>Saída da CONFERÊNCIA DE CAIXA; entrada/intervalo simulados</x:v>
      </x:c>
      <x:c r="R83" t="str">
        <x:v>2025-06</x:v>
      </x:c>
    </x:row>
    <x:row r="84" ht="21" customHeight="1">
      <x:c r="A84" s="83" t="n">
        <x:v>45811</x:v>
      </x:c>
      <x:c r="B84" t="str">
        <x:v>terça-feira</x:v>
      </x:c>
      <x:c r="C84" s="85" t="n">
        <x:v>0.5465277777777777</x:v>
      </x:c>
      <x:c r="D84" s="85" t="n">
        <x:v>0.6680555555555555</x:v>
      </x:c>
      <x:c r="E84" s="85" t="n">
        <x:v>0.7083333333333334</x:v>
      </x:c>
      <x:c r="F84" s="85" t="n">
        <x:v>0.8902777777777777</x:v>
      </x:c>
      <x:c r="G84" t="str">
        <x:f>TEXT(INT(K84/60),"00")&amp;":"&amp;TEXT(MOD(K84,60),"00")</x:f>
        <x:v>07:17</x:v>
      </x:c>
      <x:c r="H84" t="str">
        <x:f>TEXT(INT(L84/60),"00")&amp;":"&amp;TEXT(MOD(L84,60),"00")</x:f>
        <x:v>07:20</x:v>
      </x:c>
      <x:c r="I84" t="str">
        <x:f>IF(N84&gt;0,"+"&amp;TEXT(INT(N84/60),"00")&amp;":"&amp;TEXT(MOD(N84,60),"00"),"00:00")</x:f>
        <x:v>00:00</x:v>
      </x:c>
      <x:c r="J84" t="str">
        <x:f>IF(O84&gt;0,"-"&amp;TEXT(INT(O84/60),"00")&amp;":"&amp;TEXT(MOD(O84,60),"00"),"00:00")</x:f>
        <x:v>-00:03</x:v>
      </x:c>
      <x:c r="K84" t="n">
        <x:f>ROUND((F84-C84-IF(OR(D84="",E84=""),0,E84-D84))*1440,0)</x:f>
        <x:v>437</x:v>
      </x:c>
      <x:c r="L84" t="n">
        <x:v>440</x:v>
      </x:c>
      <x:c r="M84" t="n">
        <x:f>K84-L84</x:f>
        <x:v>-3</x:v>
      </x:c>
      <x:c r="N84" t="n">
        <x:f>MAX(0,M84)</x:f>
        <x:v>0</x:v>
      </x:c>
      <x:c r="O84" t="n">
        <x:f>MAX(0,-M84)</x:f>
        <x:v>3</x:v>
      </x:c>
      <x:c r="P84" t="str">
        <x:v>Ponto registrado — complemento ilustrativo</x:v>
      </x:c>
      <x:c r="Q84" t="str">
        <x:v>Saída da CONFERÊNCIA DE CAIXA; entrada/intervalo simulados</x:v>
      </x:c>
      <x:c r="R84" t="str">
        <x:v>2025-06</x:v>
      </x:c>
    </x:row>
    <x:row r="85" ht="21" customHeight="1">
      <x:c r="A85" s="83" t="n">
        <x:v>45812</x:v>
      </x:c>
      <x:c r="B85" t="str">
        <x:v>quarta-feira</x:v>
      </x:c>
      <x:c r="C85" s="85" t="n">
        <x:v>0.5423611111111111</x:v>
      </x:c>
      <x:c r="D85" s="85" t="n">
        <x:v>0.6701388888888888</x:v>
      </x:c>
      <x:c r="E85" s="85" t="n">
        <x:v>0.7118055555555556</x:v>
      </x:c>
      <x:c r="F85" s="85" t="n">
        <x:v>0.8881944444444444</x:v>
      </x:c>
      <x:c r="G85" t="str">
        <x:f>TEXT(INT(K85/60),"00")&amp;":"&amp;TEXT(MOD(K85,60),"00")</x:f>
        <x:v>07:18</x:v>
      </x:c>
      <x:c r="H85" t="str">
        <x:f>TEXT(INT(L85/60),"00")&amp;":"&amp;TEXT(MOD(L85,60),"00")</x:f>
        <x:v>07:20</x:v>
      </x:c>
      <x:c r="I85" t="str">
        <x:f>IF(N85&gt;0,"+"&amp;TEXT(INT(N85/60),"00")&amp;":"&amp;TEXT(MOD(N85,60),"00"),"00:00")</x:f>
        <x:v>00:00</x:v>
      </x:c>
      <x:c r="J85" t="str">
        <x:f>IF(O85&gt;0,"-"&amp;TEXT(INT(O85/60),"00")&amp;":"&amp;TEXT(MOD(O85,60),"00"),"00:00")</x:f>
        <x:v>-00:02</x:v>
      </x:c>
      <x:c r="K85" t="n">
        <x:f>ROUND((F85-C85-IF(OR(D85="",E85=""),0,E85-D85))*1440,0)</x:f>
        <x:v>438</x:v>
      </x:c>
      <x:c r="L85" t="n">
        <x:v>440</x:v>
      </x:c>
      <x:c r="M85" t="n">
        <x:f>K85-L85</x:f>
        <x:v>-2</x:v>
      </x:c>
      <x:c r="N85" t="n">
        <x:f>MAX(0,M85)</x:f>
        <x:v>0</x:v>
      </x:c>
      <x:c r="O85" t="n">
        <x:f>MAX(0,-M85)</x:f>
        <x:v>2</x:v>
      </x:c>
      <x:c r="P85" t="str">
        <x:v>Ponto registrado — jornada revisada</x:v>
      </x:c>
      <x:c r="Q85" t="str">
        <x:v>Horários da planilha de jornadas revisada</x:v>
      </x:c>
      <x:c r="R85" t="str">
        <x:v>2025-06</x:v>
      </x:c>
    </x:row>
    <x:row r="86" ht="21" customHeight="1">
      <x:c r="A86" s="83" t="n">
        <x:v>45813</x:v>
      </x:c>
      <x:c r="B86" t="str">
        <x:v>quinta-feira</x:v>
      </x:c>
      <x:c r="C86" s="85" t="n">
        <x:v>0.5430555555555555</x:v>
      </x:c>
      <x:c r="D86" s="85" t="n">
        <x:v>0.6729166666666667</x:v>
      </x:c>
      <x:c r="E86" s="85" t="n">
        <x:v>0.7152777777777778</x:v>
      </x:c>
      <x:c r="F86" s="85" t="n">
        <x:v>0.8875</x:v>
      </x:c>
      <x:c r="G86" t="str">
        <x:f>TEXT(INT(K86/60),"00")&amp;":"&amp;TEXT(MOD(K86,60),"00")</x:f>
        <x:v>07:15</x:v>
      </x:c>
      <x:c r="H86" t="str">
        <x:f>TEXT(INT(L86/60),"00")&amp;":"&amp;TEXT(MOD(L86,60),"00")</x:f>
        <x:v>07:20</x:v>
      </x:c>
      <x:c r="I86" t="str">
        <x:f>IF(N86&gt;0,"+"&amp;TEXT(INT(N86/60),"00")&amp;":"&amp;TEXT(MOD(N86,60),"00"),"00:00")</x:f>
        <x:v>00:00</x:v>
      </x:c>
      <x:c r="J86" t="str">
        <x:f>IF(O86&gt;0,"-"&amp;TEXT(INT(O86/60),"00")&amp;":"&amp;TEXT(MOD(O86,60),"00"),"00:00")</x:f>
        <x:v>-00:05</x:v>
      </x:c>
      <x:c r="K86" t="n">
        <x:f>ROUND((F86-C86-IF(OR(D86="",E86=""),0,E86-D86))*1440,0)</x:f>
        <x:v>435</x:v>
      </x:c>
      <x:c r="L86" t="n">
        <x:v>440</x:v>
      </x:c>
      <x:c r="M86" t="n">
        <x:f>K86-L86</x:f>
        <x:v>-5</x:v>
      </x:c>
      <x:c r="N86" t="n">
        <x:f>MAX(0,M86)</x:f>
        <x:v>0</x:v>
      </x:c>
      <x:c r="O86" t="n">
        <x:f>MAX(0,-M86)</x:f>
        <x:v>5</x:v>
      </x:c>
      <x:c r="P86" t="str">
        <x:v>Ponto registrado — complemento ilustrativo</x:v>
      </x:c>
      <x:c r="Q86" t="str">
        <x:v>Saída da CONFERÊNCIA DE CAIXA; entrada/intervalo simulados</x:v>
      </x:c>
      <x:c r="R86" t="str">
        <x:v>2025-06</x:v>
      </x:c>
    </x:row>
    <x:row r="87" ht="21" customHeight="1">
      <x:c r="A87" s="83" t="n">
        <x:v>45814</x:v>
      </x:c>
      <x:c r="B87" t="str">
        <x:v>sexta-feira</x:v>
      </x:c>
      <x:c r="C87" s="85" t="n">
        <x:v>0.5402777777777777</x:v>
      </x:c>
      <x:c r="D87" s="85" t="n">
        <x:v>0.6736111111111112</x:v>
      </x:c>
      <x:c r="E87" s="85" t="n">
        <x:v>0.7152777777777778</x:v>
      </x:c>
      <x:c r="F87" s="85" t="n">
        <x:v>0.8895833333333333</x:v>
      </x:c>
      <x:c r="G87" t="str">
        <x:f>TEXT(INT(K87/60),"00")&amp;":"&amp;TEXT(MOD(K87,60),"00")</x:f>
        <x:v>07:23</x:v>
      </x:c>
      <x:c r="H87" t="str">
        <x:f>TEXT(INT(L87/60),"00")&amp;":"&amp;TEXT(MOD(L87,60),"00")</x:f>
        <x:v>07:20</x:v>
      </x:c>
      <x:c r="I87" t="str">
        <x:f>IF(N87&gt;0,"+"&amp;TEXT(INT(N87/60),"00")&amp;":"&amp;TEXT(MOD(N87,60),"00"),"00:00")</x:f>
        <x:v>+00:03</x:v>
      </x:c>
      <x:c r="J87" t="str">
        <x:f>IF(O87&gt;0,"-"&amp;TEXT(INT(O87/60),"00")&amp;":"&amp;TEXT(MOD(O87,60),"00"),"00:00")</x:f>
        <x:v>00:00</x:v>
      </x:c>
      <x:c r="K87" t="n">
        <x:f>ROUND((F87-C87-IF(OR(D87="",E87=""),0,E87-D87))*1440,0)</x:f>
        <x:v>443</x:v>
      </x:c>
      <x:c r="L87" t="n">
        <x:v>440</x:v>
      </x:c>
      <x:c r="M87" t="n">
        <x:f>K87-L87</x:f>
        <x:v>3</x:v>
      </x:c>
      <x:c r="N87" t="n">
        <x:f>MAX(0,M87)</x:f>
        <x:v>3</x:v>
      </x:c>
      <x:c r="O87" t="n">
        <x:f>MAX(0,-M87)</x:f>
        <x:v>0</x:v>
      </x:c>
      <x:c r="P87" t="str">
        <x:v>Ponto registrado — complemento ilustrativo</x:v>
      </x:c>
      <x:c r="Q87" t="str">
        <x:v>Saída da CONFERÊNCIA DE CAIXA; entrada/intervalo simulados</x:v>
      </x:c>
      <x:c r="R87" t="str">
        <x:v>2025-06</x:v>
      </x:c>
    </x:row>
    <x:row r="88" ht="21" customHeight="1">
      <x:c r="A88" s="83" t="n">
        <x:v>45815</x:v>
      </x:c>
      <x:c r="B88" t="str">
        <x:v>sábado</x:v>
      </x:c>
      <x:c r="C88" s="85" t="n">
        <x:v>0.5388888888888889</x:v>
      </x:c>
      <x:c r="D88" s="85"/>
      <x:c r="E88" s="85"/>
      <x:c r="F88" s="85" t="n">
        <x:v>0.7090277777777778</x:v>
      </x:c>
      <x:c r="G88" t="str">
        <x:f>TEXT(INT(K88/60),"00")&amp;":"&amp;TEXT(MOD(K88,60),"00")</x:f>
        <x:v>04:05</x:v>
      </x:c>
      <x:c r="H88" t="str">
        <x:f>TEXT(INT(L88/60),"00")&amp;":"&amp;TEXT(MOD(L88,60),"00")</x:f>
        <x:v>04:00</x:v>
      </x:c>
      <x:c r="I88" t="str">
        <x:f>IF(N88&gt;0,"+"&amp;TEXT(INT(N88/60),"00")&amp;":"&amp;TEXT(MOD(N88,60),"00"),"00:00")</x:f>
        <x:v>+00:05</x:v>
      </x:c>
      <x:c r="J88" t="str">
        <x:f>IF(O88&gt;0,"-"&amp;TEXT(INT(O88/60),"00")&amp;":"&amp;TEXT(MOD(O88,60),"00"),"00:00")</x:f>
        <x:v>00:00</x:v>
      </x:c>
      <x:c r="K88" t="n">
        <x:f>ROUND((F88-C88-IF(OR(D88="",E88=""),0,E88-D88))*1440,0)</x:f>
        <x:v>245</x:v>
      </x:c>
      <x:c r="L88" t="n">
        <x:v>240</x:v>
      </x:c>
      <x:c r="M88" t="n">
        <x:f>K88-L88</x:f>
        <x:v>5</x:v>
      </x:c>
      <x:c r="N88" t="n">
        <x:f>MAX(0,M88)</x:f>
        <x:v>5</x:v>
      </x:c>
      <x:c r="O88" t="n">
        <x:f>MAX(0,-M88)</x:f>
        <x:v>0</x:v>
      </x:c>
      <x:c r="P88" t="str">
        <x:v>Ponto registrado — jornada revisada</x:v>
      </x:c>
      <x:c r="Q88" t="str">
        <x:v>Horários da planilha de jornadas revisada</x:v>
      </x:c>
      <x:c r="R88" t="str">
        <x:v>2025-06</x:v>
      </x:c>
    </x:row>
    <x:row r="89" ht="21" customHeight="1">
      <x:c r="A89" s="83" t="n">
        <x:v>45817</x:v>
      </x:c>
      <x:c r="B89" t="str">
        <x:v>segunda-feira</x:v>
      </x:c>
      <x:c r="C89" s="85" t="n">
        <x:v>0.5395833333333333</x:v>
      </x:c>
      <x:c r="D89" s="85" t="n">
        <x:v>0.6694444444444444</x:v>
      </x:c>
      <x:c r="E89" s="85" t="n">
        <x:v>0.7104166666666667</x:v>
      </x:c>
      <x:c r="F89" s="85" t="n">
        <x:v>0.8868055555555555</x:v>
      </x:c>
      <x:c r="G89" t="str">
        <x:f>TEXT(INT(K89/60),"00")&amp;":"&amp;TEXT(MOD(K89,60),"00")</x:f>
        <x:v>07:21</x:v>
      </x:c>
      <x:c r="H89" t="str">
        <x:f>TEXT(INT(L89/60),"00")&amp;":"&amp;TEXT(MOD(L89,60),"00")</x:f>
        <x:v>07:20</x:v>
      </x:c>
      <x:c r="I89" t="str">
        <x:f>IF(N89&gt;0,"+"&amp;TEXT(INT(N89/60),"00")&amp;":"&amp;TEXT(MOD(N89,60),"00"),"00:00")</x:f>
        <x:v>+00:01</x:v>
      </x:c>
      <x:c r="J89" t="str">
        <x:f>IF(O89&gt;0,"-"&amp;TEXT(INT(O89/60),"00")&amp;":"&amp;TEXT(MOD(O89,60),"00"),"00:00")</x:f>
        <x:v>00:00</x:v>
      </x:c>
      <x:c r="K89" t="n">
        <x:f>ROUND((F89-C89-IF(OR(D89="",E89=""),0,E89-D89))*1440,0)</x:f>
        <x:v>441</x:v>
      </x:c>
      <x:c r="L89" t="n">
        <x:v>440</x:v>
      </x:c>
      <x:c r="M89" t="n">
        <x:f>K89-L89</x:f>
        <x:v>1</x:v>
      </x:c>
      <x:c r="N89" t="n">
        <x:f>MAX(0,M89)</x:f>
        <x:v>1</x:v>
      </x:c>
      <x:c r="O89" t="n">
        <x:f>MAX(0,-M89)</x:f>
        <x:v>0</x:v>
      </x:c>
      <x:c r="P89" t="str">
        <x:v>Ponto registrado — complemento ilustrativo</x:v>
      </x:c>
      <x:c r="Q89" t="str">
        <x:v>Saída da CONFERÊNCIA DE CAIXA; entrada/intervalo simulados</x:v>
      </x:c>
      <x:c r="R89" t="str">
        <x:v>2025-06</x:v>
      </x:c>
    </x:row>
    <x:row r="90" ht="21" customHeight="1">
      <x:c r="A90" s="83" t="n">
        <x:v>45818</x:v>
      </x:c>
      <x:c r="B90" t="str">
        <x:v>terça-feira</x:v>
      </x:c>
      <x:c r="C90" s="85" t="n">
        <x:v>0.5444444444444444</x:v>
      </x:c>
      <x:c r="D90" s="85" t="n">
        <x:v>0.6736111111111112</x:v>
      </x:c>
      <x:c r="E90" s="85" t="n">
        <x:v>0.7131944444444445</x:v>
      </x:c>
      <x:c r="F90" s="85" t="n">
        <x:v>0.8888888888888888</x:v>
      </x:c>
      <x:c r="G90" t="str">
        <x:f>TEXT(INT(K90/60),"00")&amp;":"&amp;TEXT(MOD(K90,60),"00")</x:f>
        <x:v>07:19</x:v>
      </x:c>
      <x:c r="H90" t="str">
        <x:f>TEXT(INT(L90/60),"00")&amp;":"&amp;TEXT(MOD(L90,60),"00")</x:f>
        <x:v>07:20</x:v>
      </x:c>
      <x:c r="I90" t="str">
        <x:f>IF(N90&gt;0,"+"&amp;TEXT(INT(N90/60),"00")&amp;":"&amp;TEXT(MOD(N90,60),"00"),"00:00")</x:f>
        <x:v>00:00</x:v>
      </x:c>
      <x:c r="J90" t="str">
        <x:f>IF(O90&gt;0,"-"&amp;TEXT(INT(O90/60),"00")&amp;":"&amp;TEXT(MOD(O90,60),"00"),"00:00")</x:f>
        <x:v>-00:01</x:v>
      </x:c>
      <x:c r="K90" t="n">
        <x:f>ROUND((F90-C90-IF(OR(D90="",E90=""),0,E90-D90))*1440,0)</x:f>
        <x:v>439</x:v>
      </x:c>
      <x:c r="L90" t="n">
        <x:v>440</x:v>
      </x:c>
      <x:c r="M90" t="n">
        <x:f>K90-L90</x:f>
        <x:v>-1</x:v>
      </x:c>
      <x:c r="N90" t="n">
        <x:f>MAX(0,M90)</x:f>
        <x:v>0</x:v>
      </x:c>
      <x:c r="O90" t="n">
        <x:f>MAX(0,-M90)</x:f>
        <x:v>1</x:v>
      </x:c>
      <x:c r="P90" t="str">
        <x:v>Ponto registrado — complemento ilustrativo</x:v>
      </x:c>
      <x:c r="Q90" t="str">
        <x:v>Saída da CONFERÊNCIA DE CAIXA; entrada/intervalo simulados</x:v>
      </x:c>
      <x:c r="R90" t="str">
        <x:v>2025-06</x:v>
      </x:c>
    </x:row>
    <x:row r="91" ht="21" customHeight="1">
      <x:c r="A91" s="83" t="n">
        <x:v>45819</x:v>
      </x:c>
      <x:c r="B91" t="str">
        <x:v>quarta-feira</x:v>
      </x:c>
      <x:c r="C91" s="85" t="n">
        <x:v>0.5423611111111111</x:v>
      </x:c>
      <x:c r="D91" s="85" t="n">
        <x:v>0.6805555555555556</x:v>
      </x:c>
      <x:c r="E91" s="85" t="n">
        <x:v>0.7236111111111111</x:v>
      </x:c>
      <x:c r="F91" s="85" t="n">
        <x:v>0.8819444444444444</x:v>
      </x:c>
      <x:c r="G91" t="str">
        <x:f>TEXT(INT(K91/60),"00")&amp;":"&amp;TEXT(MOD(K91,60),"00")</x:f>
        <x:v>07:07</x:v>
      </x:c>
      <x:c r="H91" t="str">
        <x:f>TEXT(INT(L91/60),"00")&amp;":"&amp;TEXT(MOD(L91,60),"00")</x:f>
        <x:v>07:20</x:v>
      </x:c>
      <x:c r="I91" t="str">
        <x:f>IF(N91&gt;0,"+"&amp;TEXT(INT(N91/60),"00")&amp;":"&amp;TEXT(MOD(N91,60),"00"),"00:00")</x:f>
        <x:v>00:00</x:v>
      </x:c>
      <x:c r="J91" t="str">
        <x:f>IF(O91&gt;0,"-"&amp;TEXT(INT(O91/60),"00")&amp;":"&amp;TEXT(MOD(O91,60),"00"),"00:00")</x:f>
        <x:v>-00:13</x:v>
      </x:c>
      <x:c r="K91" t="n">
        <x:f>ROUND((F91-C91-IF(OR(D91="",E91=""),0,E91-D91))*1440,0)</x:f>
        <x:v>427</x:v>
      </x:c>
      <x:c r="L91" t="n">
        <x:v>440</x:v>
      </x:c>
      <x:c r="M91" t="n">
        <x:f>K91-L91</x:f>
        <x:v>-13</x:v>
      </x:c>
      <x:c r="N91" t="n">
        <x:f>MAX(0,M91)</x:f>
        <x:v>0</x:v>
      </x:c>
      <x:c r="O91" t="n">
        <x:f>MAX(0,-M91)</x:f>
        <x:v>13</x:v>
      </x:c>
      <x:c r="P91" t="str">
        <x:v>Ponto registrado — complemento ilustrativo</x:v>
      </x:c>
      <x:c r="Q91" t="str">
        <x:v>Saída da CONFERÊNCIA DE CAIXA; entrada/intervalo simulados</x:v>
      </x:c>
      <x:c r="R91" t="str">
        <x:v>2025-06</x:v>
      </x:c>
    </x:row>
    <x:row r="92" ht="21" customHeight="1">
      <x:c r="A92" s="83" t="n">
        <x:v>45820</x:v>
      </x:c>
      <x:c r="B92" t="str">
        <x:v>quinta-feira</x:v>
      </x:c>
      <x:c r="C92" s="85" t="n">
        <x:v>0.5416666666666666</x:v>
      </x:c>
      <x:c r="D92" s="85" t="n">
        <x:v>0.6666666666666666</x:v>
      </x:c>
      <x:c r="E92" s="85" t="n">
        <x:v>0.7083333333333334</x:v>
      </x:c>
      <x:c r="F92" s="85" t="n">
        <x:v>0.9166666666666666</x:v>
      </x:c>
      <x:c r="G92" t="str">
        <x:f>TEXT(INT(K92/60),"00")&amp;":"&amp;TEXT(MOD(K92,60),"00")</x:f>
        <x:v>08:00</x:v>
      </x:c>
      <x:c r="H92" t="str">
        <x:f>TEXT(INT(L92/60),"00")&amp;":"&amp;TEXT(MOD(L92,60),"00")</x:f>
        <x:v>07:20</x:v>
      </x:c>
      <x:c r="I92" t="str">
        <x:f>IF(N92&gt;0,"+"&amp;TEXT(INT(N92/60),"00")&amp;":"&amp;TEXT(MOD(N92,60),"00"),"00:00")</x:f>
        <x:v>+00:40</x:v>
      </x:c>
      <x:c r="J92" t="str">
        <x:f>IF(O92&gt;0,"-"&amp;TEXT(INT(O92/60),"00")&amp;":"&amp;TEXT(MOD(O92,60),"00"),"00:00")</x:f>
        <x:v>00:00</x:v>
      </x:c>
      <x:c r="K92" t="n">
        <x:f>ROUND((F92-C92-IF(OR(D92="",E92=""),0,E92-D92))*1440,0)</x:f>
        <x:v>480</x:v>
      </x:c>
      <x:c r="L92" t="n">
        <x:v>440</x:v>
      </x:c>
      <x:c r="M92" t="n">
        <x:f>K92-L92</x:f>
        <x:v>40</x:v>
      </x:c>
      <x:c r="N92" t="n">
        <x:f>MAX(0,M92)</x:f>
        <x:v>40</x:v>
      </x:c>
      <x:c r="O92" t="n">
        <x:f>MAX(0,-M92)</x:f>
        <x:v>0</x:v>
      </x:c>
      <x:c r="P92" t="str">
        <x:v>Ponto registrado — jornada revisada</x:v>
      </x:c>
      <x:c r="Q92" t="str">
        <x:v>Horários da planilha de jornadas revisada</x:v>
      </x:c>
      <x:c r="R92" t="str">
        <x:v>2025-06</x:v>
      </x:c>
    </x:row>
    <x:row r="93" ht="21" customHeight="1">
      <x:c r="A93" s="83" t="n">
        <x:v>45821</x:v>
      </x:c>
      <x:c r="B93" t="str">
        <x:v>sexta-feira</x:v>
      </x:c>
      <x:c r="C93" s="85" t="n">
        <x:v>0.54375</x:v>
      </x:c>
      <x:c r="D93" s="85" t="n">
        <x:v>0.6770833333333334</x:v>
      </x:c>
      <x:c r="E93" s="85" t="n">
        <x:v>0.7194444444444444</x:v>
      </x:c>
      <x:c r="F93" s="85" t="n">
        <x:v>0.8895833333333333</x:v>
      </x:c>
      <x:c r="G93" t="str">
        <x:f>TEXT(INT(K93/60),"00")&amp;":"&amp;TEXT(MOD(K93,60),"00")</x:f>
        <x:v>07:17</x:v>
      </x:c>
      <x:c r="H93" t="str">
        <x:f>TEXT(INT(L93/60),"00")&amp;":"&amp;TEXT(MOD(L93,60),"00")</x:f>
        <x:v>07:20</x:v>
      </x:c>
      <x:c r="I93" t="str">
        <x:f>IF(N93&gt;0,"+"&amp;TEXT(INT(N93/60),"00")&amp;":"&amp;TEXT(MOD(N93,60),"00"),"00:00")</x:f>
        <x:v>00:00</x:v>
      </x:c>
      <x:c r="J93" t="str">
        <x:f>IF(O93&gt;0,"-"&amp;TEXT(INT(O93/60),"00")&amp;":"&amp;TEXT(MOD(O93,60),"00"),"00:00")</x:f>
        <x:v>-00:03</x:v>
      </x:c>
      <x:c r="K93" t="n">
        <x:f>ROUND((F93-C93-IF(OR(D93="",E93=""),0,E93-D93))*1440,0)</x:f>
        <x:v>437</x:v>
      </x:c>
      <x:c r="L93" t="n">
        <x:v>440</x:v>
      </x:c>
      <x:c r="M93" t="n">
        <x:f>K93-L93</x:f>
        <x:v>-3</x:v>
      </x:c>
      <x:c r="N93" t="n">
        <x:f>MAX(0,M93)</x:f>
        <x:v>0</x:v>
      </x:c>
      <x:c r="O93" t="n">
        <x:f>MAX(0,-M93)</x:f>
        <x:v>3</x:v>
      </x:c>
      <x:c r="P93" t="str">
        <x:v>Ponto registrado — jornada revisada</x:v>
      </x:c>
      <x:c r="Q93" t="str">
        <x:v>Horários da planilha de jornadas revisada</x:v>
      </x:c>
      <x:c r="R93" t="str">
        <x:v>2025-06</x:v>
      </x:c>
    </x:row>
    <x:row r="94" ht="21" customHeight="1">
      <x:c r="A94" s="83" t="n">
        <x:v>45822</x:v>
      </x:c>
      <x:c r="B94" t="str">
        <x:v>sábado</x:v>
      </x:c>
      <x:c r="C94" s="85" t="n">
        <x:v>0.5465277777777777</x:v>
      </x:c>
      <x:c r="D94" s="85"/>
      <x:c r="E94" s="85"/>
      <x:c r="F94" s="85" t="n">
        <x:v>0.7020833333333333</x:v>
      </x:c>
      <x:c r="G94" t="str">
        <x:f>TEXT(INT(K94/60),"00")&amp;":"&amp;TEXT(MOD(K94,60),"00")</x:f>
        <x:v>03:44</x:v>
      </x:c>
      <x:c r="H94" t="str">
        <x:f>TEXT(INT(L94/60),"00")&amp;":"&amp;TEXT(MOD(L94,60),"00")</x:f>
        <x:v>04:00</x:v>
      </x:c>
      <x:c r="I94" t="str">
        <x:f>IF(N94&gt;0,"+"&amp;TEXT(INT(N94/60),"00")&amp;":"&amp;TEXT(MOD(N94,60),"00"),"00:00")</x:f>
        <x:v>00:00</x:v>
      </x:c>
      <x:c r="J94" t="str">
        <x:f>IF(O94&gt;0,"-"&amp;TEXT(INT(O94/60),"00")&amp;":"&amp;TEXT(MOD(O94,60),"00"),"00:00")</x:f>
        <x:v>-00:16</x:v>
      </x:c>
      <x:c r="K94" t="n">
        <x:f>ROUND((F94-C94-IF(OR(D94="",E94=""),0,E94-D94))*1440,0)</x:f>
        <x:v>224</x:v>
      </x:c>
      <x:c r="L94" t="n">
        <x:v>240</x:v>
      </x:c>
      <x:c r="M94" t="n">
        <x:f>K94-L94</x:f>
        <x:v>-16</x:v>
      </x:c>
      <x:c r="N94" t="n">
        <x:f>MAX(0,M94)</x:f>
        <x:v>0</x:v>
      </x:c>
      <x:c r="O94" t="n">
        <x:f>MAX(0,-M94)</x:f>
        <x:v>16</x:v>
      </x:c>
      <x:c r="P94" t="str">
        <x:v>Ponto registrado — complemento ilustrativo</x:v>
      </x:c>
      <x:c r="Q94" t="str">
        <x:v>Saída da CONFERÊNCIA DE CAIXA; entrada/intervalo simulados</x:v>
      </x:c>
      <x:c r="R94" t="str">
        <x:v>2025-06</x:v>
      </x:c>
    </x:row>
    <x:row r="95" ht="21" customHeight="1">
      <x:c r="A95" s="83" t="n">
        <x:v>45824</x:v>
      </x:c>
      <x:c r="B95" t="str">
        <x:v>segunda-feira</x:v>
      </x:c>
      <x:c r="C95" s="85" t="n">
        <x:v>0.5451388888888888</x:v>
      </x:c>
      <x:c r="D95" s="85" t="n">
        <x:v>0.6770833333333334</x:v>
      </x:c>
      <x:c r="E95" s="85" t="n">
        <x:v>0.7201388888888889</x:v>
      </x:c>
      <x:c r="F95" s="85" t="n">
        <x:v>0.8868055555555555</x:v>
      </x:c>
      <x:c r="G95" t="str">
        <x:f>TEXT(INT(K95/60),"00")&amp;":"&amp;TEXT(MOD(K95,60),"00")</x:f>
        <x:v>07:10</x:v>
      </x:c>
      <x:c r="H95" t="str">
        <x:f>TEXT(INT(L95/60),"00")&amp;":"&amp;TEXT(MOD(L95,60),"00")</x:f>
        <x:v>07:20</x:v>
      </x:c>
      <x:c r="I95" t="str">
        <x:f>IF(N95&gt;0,"+"&amp;TEXT(INT(N95/60),"00")&amp;":"&amp;TEXT(MOD(N95,60),"00"),"00:00")</x:f>
        <x:v>00:00</x:v>
      </x:c>
      <x:c r="J95" t="str">
        <x:f>IF(O95&gt;0,"-"&amp;TEXT(INT(O95/60),"00")&amp;":"&amp;TEXT(MOD(O95,60),"00"),"00:00")</x:f>
        <x:v>-00:10</x:v>
      </x:c>
      <x:c r="K95" t="n">
        <x:f>ROUND((F95-C95-IF(OR(D95="",E95=""),0,E95-D95))*1440,0)</x:f>
        <x:v>430</x:v>
      </x:c>
      <x:c r="L95" t="n">
        <x:v>440</x:v>
      </x:c>
      <x:c r="M95" t="n">
        <x:f>K95-L95</x:f>
        <x:v>-10</x:v>
      </x:c>
      <x:c r="N95" t="n">
        <x:f>MAX(0,M95)</x:f>
        <x:v>0</x:v>
      </x:c>
      <x:c r="O95" t="n">
        <x:f>MAX(0,-M95)</x:f>
        <x:v>10</x:v>
      </x:c>
      <x:c r="P95" t="str">
        <x:v>Ponto registrado — complemento ilustrativo</x:v>
      </x:c>
      <x:c r="Q95" t="str">
        <x:v>Saída da CONFERÊNCIA DE CAIXA; entrada/intervalo simulados</x:v>
      </x:c>
      <x:c r="R95" t="str">
        <x:v>2025-06</x:v>
      </x:c>
    </x:row>
    <x:row r="96" ht="21" customHeight="1">
      <x:c r="A96" s="83" t="n">
        <x:v>45825</x:v>
      </x:c>
      <x:c r="B96" t="str">
        <x:v>terça-feira</x:v>
      </x:c>
      <x:c r="C96" s="85" t="n">
        <x:v>0.5458333333333333</x:v>
      </x:c>
      <x:c r="D96" s="85" t="n">
        <x:v>0.6722222222222223</x:v>
      </x:c>
      <x:c r="E96" s="85" t="n">
        <x:v>0.7138888888888889</x:v>
      </x:c>
      <x:c r="F96" s="85" t="n">
        <x:v>0.8909722222222223</x:v>
      </x:c>
      <x:c r="G96" t="str">
        <x:f>TEXT(INT(K96/60),"00")&amp;":"&amp;TEXT(MOD(K96,60),"00")</x:f>
        <x:v>07:17</x:v>
      </x:c>
      <x:c r="H96" t="str">
        <x:f>TEXT(INT(L96/60),"00")&amp;":"&amp;TEXT(MOD(L96,60),"00")</x:f>
        <x:v>07:20</x:v>
      </x:c>
      <x:c r="I96" t="str">
        <x:f>IF(N96&gt;0,"+"&amp;TEXT(INT(N96/60),"00")&amp;":"&amp;TEXT(MOD(N96,60),"00"),"00:00")</x:f>
        <x:v>00:00</x:v>
      </x:c>
      <x:c r="J96" t="str">
        <x:f>IF(O96&gt;0,"-"&amp;TEXT(INT(O96/60),"00")&amp;":"&amp;TEXT(MOD(O96,60),"00"),"00:00")</x:f>
        <x:v>-00:03</x:v>
      </x:c>
      <x:c r="K96" t="n">
        <x:f>ROUND((F96-C96-IF(OR(D96="",E96=""),0,E96-D96))*1440,0)</x:f>
        <x:v>437</x:v>
      </x:c>
      <x:c r="L96" t="n">
        <x:v>440</x:v>
      </x:c>
      <x:c r="M96" t="n">
        <x:f>K96-L96</x:f>
        <x:v>-3</x:v>
      </x:c>
      <x:c r="N96" t="n">
        <x:f>MAX(0,M96)</x:f>
        <x:v>0</x:v>
      </x:c>
      <x:c r="O96" t="n">
        <x:f>MAX(0,-M96)</x:f>
        <x:v>3</x:v>
      </x:c>
      <x:c r="P96" t="str">
        <x:v>Ponto registrado — complemento ilustrativo</x:v>
      </x:c>
      <x:c r="Q96" t="str">
        <x:v>Saída da CONFERÊNCIA DE CAIXA; entrada/intervalo simulados</x:v>
      </x:c>
      <x:c r="R96" t="str">
        <x:v>2025-06</x:v>
      </x:c>
    </x:row>
    <x:row r="97" ht="21" customHeight="1">
      <x:c r="A97" s="83" t="n">
        <x:v>45826</x:v>
      </x:c>
      <x:c r="B97" t="str">
        <x:v>quarta-feira</x:v>
      </x:c>
      <x:c r="C97" s="85" t="n">
        <x:v>0.5458333333333333</x:v>
      </x:c>
      <x:c r="D97" s="85" t="n">
        <x:v>0.6805555555555556</x:v>
      </x:c>
      <x:c r="E97" s="85" t="n">
        <x:v>0.7194444444444444</x:v>
      </x:c>
      <x:c r="F97" s="85" t="n">
        <x:v>0.8888888888888888</x:v>
      </x:c>
      <x:c r="G97" t="str">
        <x:f>TEXT(INT(K97/60),"00")&amp;":"&amp;TEXT(MOD(K97,60),"00")</x:f>
        <x:v>07:18</x:v>
      </x:c>
      <x:c r="H97" t="str">
        <x:f>TEXT(INT(L97/60),"00")&amp;":"&amp;TEXT(MOD(L97,60),"00")</x:f>
        <x:v>07:20</x:v>
      </x:c>
      <x:c r="I97" t="str">
        <x:f>IF(N97&gt;0,"+"&amp;TEXT(INT(N97/60),"00")&amp;":"&amp;TEXT(MOD(N97,60),"00"),"00:00")</x:f>
        <x:v>00:00</x:v>
      </x:c>
      <x:c r="J97" t="str">
        <x:f>IF(O97&gt;0,"-"&amp;TEXT(INT(O97/60),"00")&amp;":"&amp;TEXT(MOD(O97,60),"00"),"00:00")</x:f>
        <x:v>-00:02</x:v>
      </x:c>
      <x:c r="K97" t="n">
        <x:f>ROUND((F97-C97-IF(OR(D97="",E97=""),0,E97-D97))*1440,0)</x:f>
        <x:v>438</x:v>
      </x:c>
      <x:c r="L97" t="n">
        <x:v>440</x:v>
      </x:c>
      <x:c r="M97" t="n">
        <x:f>K97-L97</x:f>
        <x:v>-2</x:v>
      </x:c>
      <x:c r="N97" t="n">
        <x:f>MAX(0,M97)</x:f>
        <x:v>0</x:v>
      </x:c>
      <x:c r="O97" t="n">
        <x:f>MAX(0,-M97)</x:f>
        <x:v>2</x:v>
      </x:c>
      <x:c r="P97" t="str">
        <x:v>Ponto registrado — jornada revisada</x:v>
      </x:c>
      <x:c r="Q97" t="str">
        <x:v>Horários da planilha de jornadas revisada</x:v>
      </x:c>
      <x:c r="R97" t="str">
        <x:v>2025-06</x:v>
      </x:c>
    </x:row>
    <x:row r="98" ht="21" customHeight="1">
      <x:c r="A98" s="83" t="n">
        <x:v>45827</x:v>
      </x:c>
      <x:c r="B98" t="str">
        <x:v>quinta-feira</x:v>
      </x:c>
      <x:c r="C98" s="85" t="n">
        <x:v>0.5395833333333333</x:v>
      </x:c>
      <x:c r="D98" s="85" t="n">
        <x:v>0.6798611111111111</x:v>
      </x:c>
      <x:c r="E98" s="85" t="n">
        <x:v>0.7229166666666667</x:v>
      </x:c>
      <x:c r="F98" s="85" t="n">
        <x:v>0.8784722222222222</x:v>
      </x:c>
      <x:c r="G98" t="str">
        <x:f>TEXT(INT(K98/60),"00")&amp;":"&amp;TEXT(MOD(K98,60),"00")</x:f>
        <x:v>07:06</x:v>
      </x:c>
      <x:c r="H98" t="str">
        <x:f>TEXT(INT(L98/60),"00")&amp;":"&amp;TEXT(MOD(L98,60),"00")</x:f>
        <x:v>07:20</x:v>
      </x:c>
      <x:c r="I98" t="str">
        <x:f>IF(N98&gt;0,"+"&amp;TEXT(INT(N98/60),"00")&amp;":"&amp;TEXT(MOD(N98,60),"00"),"00:00")</x:f>
        <x:v>00:00</x:v>
      </x:c>
      <x:c r="J98" t="str">
        <x:f>IF(O98&gt;0,"-"&amp;TEXT(INT(O98/60),"00")&amp;":"&amp;TEXT(MOD(O98,60),"00"),"00:00")</x:f>
        <x:v>-00:14</x:v>
      </x:c>
      <x:c r="K98" t="n">
        <x:f>ROUND((F98-C98-IF(OR(D98="",E98=""),0,E98-D98))*1440,0)</x:f>
        <x:v>426</x:v>
      </x:c>
      <x:c r="L98" t="n">
        <x:v>440</x:v>
      </x:c>
      <x:c r="M98" t="n">
        <x:f>K98-L98</x:f>
        <x:v>-14</x:v>
      </x:c>
      <x:c r="N98" t="n">
        <x:f>MAX(0,M98)</x:f>
        <x:v>0</x:v>
      </x:c>
      <x:c r="O98" t="n">
        <x:f>MAX(0,-M98)</x:f>
        <x:v>14</x:v>
      </x:c>
      <x:c r="P98" t="str">
        <x:v>Ponto registrado — complemento ilustrativo</x:v>
      </x:c>
      <x:c r="Q98" t="str">
        <x:v>Saída da CONFERÊNCIA DE CAIXA; entrada/intervalo simulados</x:v>
      </x:c>
      <x:c r="R98" t="str">
        <x:v>2025-06</x:v>
      </x:c>
    </x:row>
    <x:row r="99" ht="21" customHeight="1">
      <x:c r="A99" s="83" t="n">
        <x:v>45828</x:v>
      </x:c>
      <x:c r="B99" t="str">
        <x:v>sexta-feira</x:v>
      </x:c>
      <x:c r="C99" s="85" t="n">
        <x:v>0.5444444444444444</x:v>
      </x:c>
      <x:c r="D99" s="85" t="n">
        <x:v>0.6694444444444444</x:v>
      </x:c>
      <x:c r="E99" s="85" t="n">
        <x:v>0.7104166666666667</x:v>
      </x:c>
      <x:c r="F99" s="85" t="n">
        <x:v>0.8819444444444444</x:v>
      </x:c>
      <x:c r="G99" t="str">
        <x:f>TEXT(INT(K99/60),"00")&amp;":"&amp;TEXT(MOD(K99,60),"00")</x:f>
        <x:v>07:07</x:v>
      </x:c>
      <x:c r="H99" t="str">
        <x:f>TEXT(INT(L99/60),"00")&amp;":"&amp;TEXT(MOD(L99,60),"00")</x:f>
        <x:v>07:20</x:v>
      </x:c>
      <x:c r="I99" t="str">
        <x:f>IF(N99&gt;0,"+"&amp;TEXT(INT(N99/60),"00")&amp;":"&amp;TEXT(MOD(N99,60),"00"),"00:00")</x:f>
        <x:v>00:00</x:v>
      </x:c>
      <x:c r="J99" t="str">
        <x:f>IF(O99&gt;0,"-"&amp;TEXT(INT(O99/60),"00")&amp;":"&amp;TEXT(MOD(O99,60),"00"),"00:00")</x:f>
        <x:v>-00:13</x:v>
      </x:c>
      <x:c r="K99" t="n">
        <x:f>ROUND((F99-C99-IF(OR(D99="",E99=""),0,E99-D99))*1440,0)</x:f>
        <x:v>427</x:v>
      </x:c>
      <x:c r="L99" t="n">
        <x:v>440</x:v>
      </x:c>
      <x:c r="M99" t="n">
        <x:f>K99-L99</x:f>
        <x:v>-13</x:v>
      </x:c>
      <x:c r="N99" t="n">
        <x:f>MAX(0,M99)</x:f>
        <x:v>0</x:v>
      </x:c>
      <x:c r="O99" t="n">
        <x:f>MAX(0,-M99)</x:f>
        <x:v>13</x:v>
      </x:c>
      <x:c r="P99" t="str">
        <x:v>Ponto registrado — complemento ilustrativo</x:v>
      </x:c>
      <x:c r="Q99" t="str">
        <x:v>Saída da CONFERÊNCIA DE CAIXA; entrada/intervalo simulados</x:v>
      </x:c>
      <x:c r="R99" t="str">
        <x:v>2025-06</x:v>
      </x:c>
    </x:row>
    <x:row r="100" ht="21" customHeight="1">
      <x:c r="A100" s="83" t="n">
        <x:v>45829</x:v>
      </x:c>
      <x:c r="B100" t="str">
        <x:v>sábado</x:v>
      </x:c>
      <x:c r="C100" s="85" t="n">
        <x:v>0.5416666666666666</x:v>
      </x:c>
      <x:c r="D100" s="85"/>
      <x:c r="E100" s="85"/>
      <x:c r="F100" s="85" t="n">
        <x:v>0.70625</x:v>
      </x:c>
      <x:c r="G100" t="str">
        <x:f>TEXT(INT(K100/60),"00")&amp;":"&amp;TEXT(MOD(K100,60),"00")</x:f>
        <x:v>03:57</x:v>
      </x:c>
      <x:c r="H100" t="str">
        <x:f>TEXT(INT(L100/60),"00")&amp;":"&amp;TEXT(MOD(L100,60),"00")</x:f>
        <x:v>04:00</x:v>
      </x:c>
      <x:c r="I100" t="str">
        <x:f>IF(N100&gt;0,"+"&amp;TEXT(INT(N100/60),"00")&amp;":"&amp;TEXT(MOD(N100,60),"00"),"00:00")</x:f>
        <x:v>00:00</x:v>
      </x:c>
      <x:c r="J100" t="str">
        <x:f>IF(O100&gt;0,"-"&amp;TEXT(INT(O100/60),"00")&amp;":"&amp;TEXT(MOD(O100,60),"00"),"00:00")</x:f>
        <x:v>-00:03</x:v>
      </x:c>
      <x:c r="K100" t="n">
        <x:f>ROUND((F100-C100-IF(OR(D100="",E100=""),0,E100-D100))*1440,0)</x:f>
        <x:v>237</x:v>
      </x:c>
      <x:c r="L100" t="n">
        <x:v>240</x:v>
      </x:c>
      <x:c r="M100" t="n">
        <x:f>K100-L100</x:f>
        <x:v>-3</x:v>
      </x:c>
      <x:c r="N100" t="n">
        <x:f>MAX(0,M100)</x:f>
        <x:v>0</x:v>
      </x:c>
      <x:c r="O100" t="n">
        <x:f>MAX(0,-M100)</x:f>
        <x:v>3</x:v>
      </x:c>
      <x:c r="P100" t="str">
        <x:v>Ponto registrado — complemento ilustrativo</x:v>
      </x:c>
      <x:c r="Q100" t="str">
        <x:v>Saída da CONFERÊNCIA DE CAIXA; entrada/intervalo simulados</x:v>
      </x:c>
      <x:c r="R100" t="str">
        <x:v>2025-06</x:v>
      </x:c>
    </x:row>
    <x:row r="101" ht="21" customHeight="1">
      <x:c r="A101" s="83" t="n">
        <x:v>45831</x:v>
      </x:c>
      <x:c r="B101" t="str">
        <x:v>segunda-feira</x:v>
      </x:c>
      <x:c r="C101" s="85" t="n">
        <x:v>0.5395833333333333</x:v>
      </x:c>
      <x:c r="D101" s="85" t="n">
        <x:v>0.6701388888888888</x:v>
      </x:c>
      <x:c r="E101" s="85" t="n">
        <x:v>0.7118055555555556</x:v>
      </x:c>
      <x:c r="F101" s="85" t="n">
        <x:v>0.8888888888888888</x:v>
      </x:c>
      <x:c r="G101" t="str">
        <x:f>TEXT(INT(K101/60),"00")&amp;":"&amp;TEXT(MOD(K101,60),"00")</x:f>
        <x:v>07:23</x:v>
      </x:c>
      <x:c r="H101" t="str">
        <x:f>TEXT(INT(L101/60),"00")&amp;":"&amp;TEXT(MOD(L101,60),"00")</x:f>
        <x:v>07:20</x:v>
      </x:c>
      <x:c r="I101" t="str">
        <x:f>IF(N101&gt;0,"+"&amp;TEXT(INT(N101/60),"00")&amp;":"&amp;TEXT(MOD(N101,60),"00"),"00:00")</x:f>
        <x:v>+00:03</x:v>
      </x:c>
      <x:c r="J101" t="str">
        <x:f>IF(O101&gt;0,"-"&amp;TEXT(INT(O101/60),"00")&amp;":"&amp;TEXT(MOD(O101,60),"00"),"00:00")</x:f>
        <x:v>00:00</x:v>
      </x:c>
      <x:c r="K101" t="n">
        <x:f>ROUND((F101-C101-IF(OR(D101="",E101=""),0,E101-D101))*1440,0)</x:f>
        <x:v>443</x:v>
      </x:c>
      <x:c r="L101" t="n">
        <x:v>440</x:v>
      </x:c>
      <x:c r="M101" t="n">
        <x:f>K101-L101</x:f>
        <x:v>3</x:v>
      </x:c>
      <x:c r="N101" t="n">
        <x:f>MAX(0,M101)</x:f>
        <x:v>3</x:v>
      </x:c>
      <x:c r="O101" t="n">
        <x:f>MAX(0,-M101)</x:f>
        <x:v>0</x:v>
      </x:c>
      <x:c r="P101" t="str">
        <x:v>Ponto registrado — complemento ilustrativo</x:v>
      </x:c>
      <x:c r="Q101" t="str">
        <x:v>Saída da CONFERÊNCIA DE CAIXA; entrada/intervalo simulados</x:v>
      </x:c>
      <x:c r="R101" t="str">
        <x:v>2025-06</x:v>
      </x:c>
    </x:row>
    <x:row r="102" ht="21" customHeight="1">
      <x:c r="A102" s="83" t="n">
        <x:v>45832</x:v>
      </x:c>
      <x:c r="B102" t="str">
        <x:v>terça-feira</x:v>
      </x:c>
      <x:c r="C102" s="85" t="n">
        <x:v>0.5409722222222222</x:v>
      </x:c>
      <x:c r="D102" s="85" t="n">
        <x:v>0.6701388888888888</x:v>
      </x:c>
      <x:c r="E102" s="85" t="n">
        <x:v>0.7131944444444445</x:v>
      </x:c>
      <x:c r="F102" s="85" t="n">
        <x:v>0.8868055555555555</x:v>
      </x:c>
      <x:c r="G102" t="str">
        <x:f>TEXT(INT(K102/60),"00")&amp;":"&amp;TEXT(MOD(K102,60),"00")</x:f>
        <x:v>07:16</x:v>
      </x:c>
      <x:c r="H102" t="str">
        <x:f>TEXT(INT(L102/60),"00")&amp;":"&amp;TEXT(MOD(L102,60),"00")</x:f>
        <x:v>07:20</x:v>
      </x:c>
      <x:c r="I102" t="str">
        <x:f>IF(N102&gt;0,"+"&amp;TEXT(INT(N102/60),"00")&amp;":"&amp;TEXT(MOD(N102,60),"00"),"00:00")</x:f>
        <x:v>00:00</x:v>
      </x:c>
      <x:c r="J102" t="str">
        <x:f>IF(O102&gt;0,"-"&amp;TEXT(INT(O102/60),"00")&amp;":"&amp;TEXT(MOD(O102,60),"00"),"00:00")</x:f>
        <x:v>-00:04</x:v>
      </x:c>
      <x:c r="K102" t="n">
        <x:f>ROUND((F102-C102-IF(OR(D102="",E102=""),0,E102-D102))*1440,0)</x:f>
        <x:v>436</x:v>
      </x:c>
      <x:c r="L102" t="n">
        <x:v>440</x:v>
      </x:c>
      <x:c r="M102" t="n">
        <x:f>K102-L102</x:f>
        <x:v>-4</x:v>
      </x:c>
      <x:c r="N102" t="n">
        <x:f>MAX(0,M102)</x:f>
        <x:v>0</x:v>
      </x:c>
      <x:c r="O102" t="n">
        <x:f>MAX(0,-M102)</x:f>
        <x:v>4</x:v>
      </x:c>
      <x:c r="P102" t="str">
        <x:v>Ponto registrado — complemento ilustrativo</x:v>
      </x:c>
      <x:c r="Q102" t="str">
        <x:v>Saída da CONFERÊNCIA DE CAIXA; entrada/intervalo simulados</x:v>
      </x:c>
      <x:c r="R102" t="str">
        <x:v>2025-06</x:v>
      </x:c>
    </x:row>
    <x:row r="103" ht="21" customHeight="1">
      <x:c r="A103" s="83" t="n">
        <x:v>45833</x:v>
      </x:c>
      <x:c r="B103" t="str">
        <x:v>quarta-feira</x:v>
      </x:c>
      <x:c r="C103" s="85" t="n">
        <x:v>0.5458333333333333</x:v>
      </x:c>
      <x:c r="D103" s="85" t="n">
        <x:v>0.6694444444444444</x:v>
      </x:c>
      <x:c r="E103" s="85" t="n">
        <x:v>0.7131944444444445</x:v>
      </x:c>
      <x:c r="F103" s="85" t="n">
        <x:v>0.8888888888888888</x:v>
      </x:c>
      <x:c r="G103" t="str">
        <x:f>TEXT(INT(K103/60),"00")&amp;":"&amp;TEXT(MOD(K103,60),"00")</x:f>
        <x:v>07:11</x:v>
      </x:c>
      <x:c r="H103" t="str">
        <x:f>TEXT(INT(L103/60),"00")&amp;":"&amp;TEXT(MOD(L103,60),"00")</x:f>
        <x:v>07:20</x:v>
      </x:c>
      <x:c r="I103" t="str">
        <x:f>IF(N103&gt;0,"+"&amp;TEXT(INT(N103/60),"00")&amp;":"&amp;TEXT(MOD(N103,60),"00"),"00:00")</x:f>
        <x:v>00:00</x:v>
      </x:c>
      <x:c r="J103" t="str">
        <x:f>IF(O103&gt;0,"-"&amp;TEXT(INT(O103/60),"00")&amp;":"&amp;TEXT(MOD(O103,60),"00"),"00:00")</x:f>
        <x:v>-00:09</x:v>
      </x:c>
      <x:c r="K103" t="n">
        <x:f>ROUND((F103-C103-IF(OR(D103="",E103=""),0,E103-D103))*1440,0)</x:f>
        <x:v>431</x:v>
      </x:c>
      <x:c r="L103" t="n">
        <x:v>440</x:v>
      </x:c>
      <x:c r="M103" t="n">
        <x:f>K103-L103</x:f>
        <x:v>-9</x:v>
      </x:c>
      <x:c r="N103" t="n">
        <x:f>MAX(0,M103)</x:f>
        <x:v>0</x:v>
      </x:c>
      <x:c r="O103" t="n">
        <x:f>MAX(0,-M103)</x:f>
        <x:v>9</x:v>
      </x:c>
      <x:c r="P103" t="str">
        <x:v>Ponto registrado — complemento ilustrativo</x:v>
      </x:c>
      <x:c r="Q103" t="str">
        <x:v>Saída da CONFERÊNCIA DE CAIXA; entrada/intervalo simulados</x:v>
      </x:c>
      <x:c r="R103" t="str">
        <x:v>2025-06</x:v>
      </x:c>
    </x:row>
    <x:row r="104" ht="21" customHeight="1">
      <x:c r="A104" s="83" t="n">
        <x:v>45834</x:v>
      </x:c>
      <x:c r="B104" t="str">
        <x:v>quinta-feira</x:v>
      </x:c>
      <x:c r="C104" s="85" t="n">
        <x:v>0.54375</x:v>
      </x:c>
      <x:c r="D104" s="85" t="n">
        <x:v>0.6763888888888889</x:v>
      </x:c>
      <x:c r="E104" s="85" t="n">
        <x:v>0.7159722222222222</x:v>
      </x:c>
      <x:c r="F104" s="85" t="n">
        <x:v>0.8916666666666667</x:v>
      </x:c>
      <x:c r="G104" t="str">
        <x:f>TEXT(INT(K104/60),"00")&amp;":"&amp;TEXT(MOD(K104,60),"00")</x:f>
        <x:v>07:24</x:v>
      </x:c>
      <x:c r="H104" t="str">
        <x:f>TEXT(INT(L104/60),"00")&amp;":"&amp;TEXT(MOD(L104,60),"00")</x:f>
        <x:v>07:20</x:v>
      </x:c>
      <x:c r="I104" t="str">
        <x:f>IF(N104&gt;0,"+"&amp;TEXT(INT(N104/60),"00")&amp;":"&amp;TEXT(MOD(N104,60),"00"),"00:00")</x:f>
        <x:v>+00:04</x:v>
      </x:c>
      <x:c r="J104" t="str">
        <x:f>IF(O104&gt;0,"-"&amp;TEXT(INT(O104/60),"00")&amp;":"&amp;TEXT(MOD(O104,60),"00"),"00:00")</x:f>
        <x:v>00:00</x:v>
      </x:c>
      <x:c r="K104" t="n">
        <x:f>ROUND((F104-C104-IF(OR(D104="",E104=""),0,E104-D104))*1440,0)</x:f>
        <x:v>444</x:v>
      </x:c>
      <x:c r="L104" t="n">
        <x:v>440</x:v>
      </x:c>
      <x:c r="M104" t="n">
        <x:f>K104-L104</x:f>
        <x:v>4</x:v>
      </x:c>
      <x:c r="N104" t="n">
        <x:f>MAX(0,M104)</x:f>
        <x:v>4</x:v>
      </x:c>
      <x:c r="O104" t="n">
        <x:f>MAX(0,-M104)</x:f>
        <x:v>0</x:v>
      </x:c>
      <x:c r="P104" t="str">
        <x:v>Ponto registrado — complemento ilustrativo</x:v>
      </x:c>
      <x:c r="Q104" t="str">
        <x:v>Saída da CONFERÊNCIA DE CAIXA; entrada/intervalo simulados</x:v>
      </x:c>
      <x:c r="R104" t="str">
        <x:v>2025-06</x:v>
      </x:c>
    </x:row>
    <x:row r="105" ht="21" customHeight="1">
      <x:c r="A105" s="83" t="n">
        <x:v>45835</x:v>
      </x:c>
      <x:c r="B105" t="str">
        <x:v>sexta-feira</x:v>
      </x:c>
      <x:c r="C105" s="85" t="n">
        <x:v>0.5375</x:v>
      </x:c>
      <x:c r="D105" s="85" t="n">
        <x:v>0.6777777777777778</x:v>
      </x:c>
      <x:c r="E105" s="85" t="n">
        <x:v>0.71875</x:v>
      </x:c>
      <x:c r="F105" s="85" t="n">
        <x:v>0.8881944444444444</x:v>
      </x:c>
      <x:c r="G105" t="str">
        <x:f>TEXT(INT(K105/60),"00")&amp;":"&amp;TEXT(MOD(K105,60),"00")</x:f>
        <x:v>07:26</x:v>
      </x:c>
      <x:c r="H105" t="str">
        <x:f>TEXT(INT(L105/60),"00")&amp;":"&amp;TEXT(MOD(L105,60),"00")</x:f>
        <x:v>07:20</x:v>
      </x:c>
      <x:c r="I105" t="str">
        <x:f>IF(N105&gt;0,"+"&amp;TEXT(INT(N105/60),"00")&amp;":"&amp;TEXT(MOD(N105,60),"00"),"00:00")</x:f>
        <x:v>+00:06</x:v>
      </x:c>
      <x:c r="J105" t="str">
        <x:f>IF(O105&gt;0,"-"&amp;TEXT(INT(O105/60),"00")&amp;":"&amp;TEXT(MOD(O105,60),"00"),"00:00")</x:f>
        <x:v>00:00</x:v>
      </x:c>
      <x:c r="K105" t="n">
        <x:f>ROUND((F105-C105-IF(OR(D105="",E105=""),0,E105-D105))*1440,0)</x:f>
        <x:v>446</x:v>
      </x:c>
      <x:c r="L105" t="n">
        <x:v>440</x:v>
      </x:c>
      <x:c r="M105" t="n">
        <x:f>K105-L105</x:f>
        <x:v>6</x:v>
      </x:c>
      <x:c r="N105" t="n">
        <x:f>MAX(0,M105)</x:f>
        <x:v>6</x:v>
      </x:c>
      <x:c r="O105" t="n">
        <x:f>MAX(0,-M105)</x:f>
        <x:v>0</x:v>
      </x:c>
      <x:c r="P105" t="str">
        <x:v>Ponto registrado — complemento ilustrativo</x:v>
      </x:c>
      <x:c r="Q105" t="str">
        <x:v>Saída da CONFERÊNCIA DE CAIXA; entrada/intervalo simulados</x:v>
      </x:c>
      <x:c r="R105" t="str">
        <x:v>2025-06</x:v>
      </x:c>
    </x:row>
    <x:row r="106" ht="21" customHeight="1">
      <x:c r="A106" s="83" t="n">
        <x:v>45836</x:v>
      </x:c>
      <x:c r="B106" t="str">
        <x:v>sábado</x:v>
      </x:c>
      <x:c r="C106" s="85" t="n">
        <x:v>0.5423611111111111</x:v>
      </x:c>
      <x:c r="D106" s="85"/>
      <x:c r="E106" s="85"/>
      <x:c r="F106" s="85" t="n">
        <x:v>0.7041666666666667</x:v>
      </x:c>
      <x:c r="G106" t="str">
        <x:f>TEXT(INT(K106/60),"00")&amp;":"&amp;TEXT(MOD(K106,60),"00")</x:f>
        <x:v>03:53</x:v>
      </x:c>
      <x:c r="H106" t="str">
        <x:f>TEXT(INT(L106/60),"00")&amp;":"&amp;TEXT(MOD(L106,60),"00")</x:f>
        <x:v>04:00</x:v>
      </x:c>
      <x:c r="I106" t="str">
        <x:f>IF(N106&gt;0,"+"&amp;TEXT(INT(N106/60),"00")&amp;":"&amp;TEXT(MOD(N106,60),"00"),"00:00")</x:f>
        <x:v>00:00</x:v>
      </x:c>
      <x:c r="J106" t="str">
        <x:f>IF(O106&gt;0,"-"&amp;TEXT(INT(O106/60),"00")&amp;":"&amp;TEXT(MOD(O106,60),"00"),"00:00")</x:f>
        <x:v>-00:07</x:v>
      </x:c>
      <x:c r="K106" t="n">
        <x:f>ROUND((F106-C106-IF(OR(D106="",E106=""),0,E106-D106))*1440,0)</x:f>
        <x:v>233</x:v>
      </x:c>
      <x:c r="L106" t="n">
        <x:v>240</x:v>
      </x:c>
      <x:c r="M106" t="n">
        <x:f>K106-L106</x:f>
        <x:v>-7</x:v>
      </x:c>
      <x:c r="N106" t="n">
        <x:f>MAX(0,M106)</x:f>
        <x:v>0</x:v>
      </x:c>
      <x:c r="O106" t="n">
        <x:f>MAX(0,-M106)</x:f>
        <x:v>7</x:v>
      </x:c>
      <x:c r="P106" t="str">
        <x:v>Ponto registrado — complemento ilustrativo</x:v>
      </x:c>
      <x:c r="Q106" t="str">
        <x:v>Saída da CONFERÊNCIA DE CAIXA; entrada/intervalo simulados</x:v>
      </x:c>
      <x:c r="R106" t="str">
        <x:v>2025-06</x:v>
      </x:c>
    </x:row>
    <x:row r="107" ht="21" customHeight="1">
      <x:c r="A107" s="83" t="n">
        <x:v>45838</x:v>
      </x:c>
      <x:c r="B107" t="str">
        <x:v>segunda-feira</x:v>
      </x:c>
      <x:c r="C107" s="85" t="n">
        <x:v>0.5375</x:v>
      </x:c>
      <x:c r="D107" s="85" t="n">
        <x:v>0.6701388888888888</x:v>
      </x:c>
      <x:c r="E107" s="85" t="n">
        <x:v>0.7118055555555556</x:v>
      </x:c>
      <x:c r="F107" s="85" t="n">
        <x:v>0.8875</x:v>
      </x:c>
      <x:c r="G107" t="str">
        <x:f>TEXT(INT(K107/60),"00")&amp;":"&amp;TEXT(MOD(K107,60),"00")</x:f>
        <x:v>07:24</x:v>
      </x:c>
      <x:c r="H107" t="str">
        <x:f>TEXT(INT(L107/60),"00")&amp;":"&amp;TEXT(MOD(L107,60),"00")</x:f>
        <x:v>07:20</x:v>
      </x:c>
      <x:c r="I107" t="str">
        <x:f>IF(N107&gt;0,"+"&amp;TEXT(INT(N107/60),"00")&amp;":"&amp;TEXT(MOD(N107,60),"00"),"00:00")</x:f>
        <x:v>+00:04</x:v>
      </x:c>
      <x:c r="J107" t="str">
        <x:f>IF(O107&gt;0,"-"&amp;TEXT(INT(O107/60),"00")&amp;":"&amp;TEXT(MOD(O107,60),"00"),"00:00")</x:f>
        <x:v>00:00</x:v>
      </x:c>
      <x:c r="K107" t="n">
        <x:f>ROUND((F107-C107-IF(OR(D107="",E107=""),0,E107-D107))*1440,0)</x:f>
        <x:v>444</x:v>
      </x:c>
      <x:c r="L107" t="n">
        <x:v>440</x:v>
      </x:c>
      <x:c r="M107" t="n">
        <x:f>K107-L107</x:f>
        <x:v>4</x:v>
      </x:c>
      <x:c r="N107" t="n">
        <x:f>MAX(0,M107)</x:f>
        <x:v>4</x:v>
      </x:c>
      <x:c r="O107" t="n">
        <x:f>MAX(0,-M107)</x:f>
        <x:v>0</x:v>
      </x:c>
      <x:c r="P107" t="str">
        <x:v>Ponto registrado — complemento ilustrativo</x:v>
      </x:c>
      <x:c r="Q107" t="str">
        <x:v>Saída da CONFERÊNCIA DE CAIXA; entrada/intervalo simulados</x:v>
      </x:c>
      <x:c r="R107" t="str">
        <x:v>2025-06</x:v>
      </x:c>
    </x:row>
    <x:row r="108" ht="21" customHeight="1">
      <x:c r="A108" s="83" t="n">
        <x:v>45839</x:v>
      </x:c>
      <x:c r="B108" t="str">
        <x:v>terça-feira</x:v>
      </x:c>
      <x:c r="C108" s="85" t="n">
        <x:v>0.5458333333333333</x:v>
      </x:c>
      <x:c r="D108" s="85" t="n">
        <x:v>0.6777777777777778</x:v>
      </x:c>
      <x:c r="E108" s="85" t="n">
        <x:v>0.7180555555555556</x:v>
      </x:c>
      <x:c r="F108" s="85" t="n">
        <x:v>0.8805555555555555</x:v>
      </x:c>
      <x:c r="G108" t="str">
        <x:f>TEXT(INT(K108/60),"00")&amp;":"&amp;TEXT(MOD(K108,60),"00")</x:f>
        <x:v>07:04</x:v>
      </x:c>
      <x:c r="H108" t="str">
        <x:f>TEXT(INT(L108/60),"00")&amp;":"&amp;TEXT(MOD(L108,60),"00")</x:f>
        <x:v>07:20</x:v>
      </x:c>
      <x:c r="I108" t="str">
        <x:f>IF(N108&gt;0,"+"&amp;TEXT(INT(N108/60),"00")&amp;":"&amp;TEXT(MOD(N108,60),"00"),"00:00")</x:f>
        <x:v>00:00</x:v>
      </x:c>
      <x:c r="J108" t="str">
        <x:f>IF(O108&gt;0,"-"&amp;TEXT(INT(O108/60),"00")&amp;":"&amp;TEXT(MOD(O108,60),"00"),"00:00")</x:f>
        <x:v>-00:16</x:v>
      </x:c>
      <x:c r="K108" t="n">
        <x:f>ROUND((F108-C108-IF(OR(D108="",E108=""),0,E108-D108))*1440,0)</x:f>
        <x:v>424</x:v>
      </x:c>
      <x:c r="L108" t="n">
        <x:v>440</x:v>
      </x:c>
      <x:c r="M108" t="n">
        <x:f>K108-L108</x:f>
        <x:v>-16</x:v>
      </x:c>
      <x:c r="N108" t="n">
        <x:f>MAX(0,M108)</x:f>
        <x:v>0</x:v>
      </x:c>
      <x:c r="O108" t="n">
        <x:f>MAX(0,-M108)</x:f>
        <x:v>16</x:v>
      </x:c>
      <x:c r="P108" t="str">
        <x:v>Ponto registrado — complemento ilustrativo</x:v>
      </x:c>
      <x:c r="Q108" t="str">
        <x:v>Saída da CONFERÊNCIA DE CAIXA; entrada/intervalo simulados</x:v>
      </x:c>
      <x:c r="R108" t="str">
        <x:v>2025-07</x:v>
      </x:c>
    </x:row>
    <x:row r="109" ht="21" customHeight="1">
      <x:c r="A109" s="83" t="n">
        <x:v>45840</x:v>
      </x:c>
      <x:c r="B109" t="str">
        <x:v>quarta-feira</x:v>
      </x:c>
      <x:c r="C109" s="85" t="n">
        <x:v>0.5375</x:v>
      </x:c>
      <x:c r="D109" s="85" t="n">
        <x:v>0.6729166666666667</x:v>
      </x:c>
      <x:c r="E109" s="85" t="n">
        <x:v>0.7118055555555556</x:v>
      </x:c>
      <x:c r="F109" s="85" t="n">
        <x:v>0.8833333333333333</x:v>
      </x:c>
      <x:c r="G109" t="str">
        <x:f>TEXT(INT(K109/60),"00")&amp;":"&amp;TEXT(MOD(K109,60),"00")</x:f>
        <x:v>07:22</x:v>
      </x:c>
      <x:c r="H109" t="str">
        <x:f>TEXT(INT(L109/60),"00")&amp;":"&amp;TEXT(MOD(L109,60),"00")</x:f>
        <x:v>07:20</x:v>
      </x:c>
      <x:c r="I109" t="str">
        <x:f>IF(N109&gt;0,"+"&amp;TEXT(INT(N109/60),"00")&amp;":"&amp;TEXT(MOD(N109,60),"00"),"00:00")</x:f>
        <x:v>+00:02</x:v>
      </x:c>
      <x:c r="J109" t="str">
        <x:f>IF(O109&gt;0,"-"&amp;TEXT(INT(O109/60),"00")&amp;":"&amp;TEXT(MOD(O109,60),"00"),"00:00")</x:f>
        <x:v>00:00</x:v>
      </x:c>
      <x:c r="K109" t="n">
        <x:f>ROUND((F109-C109-IF(OR(D109="",E109=""),0,E109-D109))*1440,0)</x:f>
        <x:v>442</x:v>
      </x:c>
      <x:c r="L109" t="n">
        <x:v>440</x:v>
      </x:c>
      <x:c r="M109" t="n">
        <x:f>K109-L109</x:f>
        <x:v>2</x:v>
      </x:c>
      <x:c r="N109" t="n">
        <x:f>MAX(0,M109)</x:f>
        <x:v>2</x:v>
      </x:c>
      <x:c r="O109" t="n">
        <x:f>MAX(0,-M109)</x:f>
        <x:v>0</x:v>
      </x:c>
      <x:c r="P109" t="str">
        <x:v>Ponto registrado — complemento ilustrativo</x:v>
      </x:c>
      <x:c r="Q109" t="str">
        <x:v>Saída da CONFERÊNCIA DE CAIXA; entrada/intervalo simulados</x:v>
      </x:c>
      <x:c r="R109" t="str">
        <x:v>2025-07</x:v>
      </x:c>
    </x:row>
    <x:row r="110" ht="21" customHeight="1">
      <x:c r="A110" s="83" t="n">
        <x:v>45841</x:v>
      </x:c>
      <x:c r="B110" t="str">
        <x:v>quinta-feira</x:v>
      </x:c>
      <x:c r="C110" s="85" t="n">
        <x:v>0.5395833333333333</x:v>
      </x:c>
      <x:c r="D110" s="85" t="n">
        <x:v>0.6784722222222223</x:v>
      </x:c>
      <x:c r="E110" s="85" t="n">
        <x:v>0.7229166666666667</x:v>
      </x:c>
      <x:c r="F110" s="85" t="n">
        <x:v>0.8791666666666667</x:v>
      </x:c>
      <x:c r="G110" t="str">
        <x:f>TEXT(INT(K110/60),"00")&amp;":"&amp;TEXT(MOD(K110,60),"00")</x:f>
        <x:v>07:05</x:v>
      </x:c>
      <x:c r="H110" t="str">
        <x:f>TEXT(INT(L110/60),"00")&amp;":"&amp;TEXT(MOD(L110,60),"00")</x:f>
        <x:v>07:20</x:v>
      </x:c>
      <x:c r="I110" t="str">
        <x:f>IF(N110&gt;0,"+"&amp;TEXT(INT(N110/60),"00")&amp;":"&amp;TEXT(MOD(N110,60),"00"),"00:00")</x:f>
        <x:v>00:00</x:v>
      </x:c>
      <x:c r="J110" t="str">
        <x:f>IF(O110&gt;0,"-"&amp;TEXT(INT(O110/60),"00")&amp;":"&amp;TEXT(MOD(O110,60),"00"),"00:00")</x:f>
        <x:v>-00:15</x:v>
      </x:c>
      <x:c r="K110" t="n">
        <x:f>ROUND((F110-C110-IF(OR(D110="",E110=""),0,E110-D110))*1440,0)</x:f>
        <x:v>425</x:v>
      </x:c>
      <x:c r="L110" t="n">
        <x:v>440</x:v>
      </x:c>
      <x:c r="M110" t="n">
        <x:f>K110-L110</x:f>
        <x:v>-15</x:v>
      </x:c>
      <x:c r="N110" t="n">
        <x:f>MAX(0,M110)</x:f>
        <x:v>0</x:v>
      </x:c>
      <x:c r="O110" t="n">
        <x:f>MAX(0,-M110)</x:f>
        <x:v>15</x:v>
      </x:c>
      <x:c r="P110" t="str">
        <x:v>Ponto registrado — complemento ilustrativo</x:v>
      </x:c>
      <x:c r="Q110" t="str">
        <x:v>Saída da CONFERÊNCIA DE CAIXA; entrada/intervalo simulados</x:v>
      </x:c>
      <x:c r="R110" t="str">
        <x:v>2025-07</x:v>
      </x:c>
    </x:row>
    <x:row r="111" ht="21" customHeight="1">
      <x:c r="A111" s="83" t="n">
        <x:v>45842</x:v>
      </x:c>
      <x:c r="B111" t="str">
        <x:v>sexta-feira</x:v>
      </x:c>
      <x:c r="C111" s="85" t="n">
        <x:v>0.5451388888888888</x:v>
      </x:c>
      <x:c r="D111" s="85" t="n">
        <x:v>0.6666666666666666</x:v>
      </x:c>
      <x:c r="E111" s="85" t="n">
        <x:v>0.7055555555555556</x:v>
      </x:c>
      <x:c r="F111" s="85" t="n">
        <x:v>0.88125</x:v>
      </x:c>
      <x:c r="G111" t="str">
        <x:f>TEXT(INT(K111/60),"00")&amp;":"&amp;TEXT(MOD(K111,60),"00")</x:f>
        <x:v>07:08</x:v>
      </x:c>
      <x:c r="H111" t="str">
        <x:f>TEXT(INT(L111/60),"00")&amp;":"&amp;TEXT(MOD(L111,60),"00")</x:f>
        <x:v>07:20</x:v>
      </x:c>
      <x:c r="I111" t="str">
        <x:f>IF(N111&gt;0,"+"&amp;TEXT(INT(N111/60),"00")&amp;":"&amp;TEXT(MOD(N111,60),"00"),"00:00")</x:f>
        <x:v>00:00</x:v>
      </x:c>
      <x:c r="J111" t="str">
        <x:f>IF(O111&gt;0,"-"&amp;TEXT(INT(O111/60),"00")&amp;":"&amp;TEXT(MOD(O111,60),"00"),"00:00")</x:f>
        <x:v>-00:12</x:v>
      </x:c>
      <x:c r="K111" t="n">
        <x:f>ROUND((F111-C111-IF(OR(D111="",E111=""),0,E111-D111))*1440,0)</x:f>
        <x:v>428</x:v>
      </x:c>
      <x:c r="L111" t="n">
        <x:v>440</x:v>
      </x:c>
      <x:c r="M111" t="n">
        <x:f>K111-L111</x:f>
        <x:v>-12</x:v>
      </x:c>
      <x:c r="N111" t="n">
        <x:f>MAX(0,M111)</x:f>
        <x:v>0</x:v>
      </x:c>
      <x:c r="O111" t="n">
        <x:f>MAX(0,-M111)</x:f>
        <x:v>12</x:v>
      </x:c>
      <x:c r="P111" t="str">
        <x:v>Ponto registrado — jornada revisada</x:v>
      </x:c>
      <x:c r="Q111" t="str">
        <x:v>Horários da planilha de jornadas revisada</x:v>
      </x:c>
      <x:c r="R111" t="str">
        <x:v>2025-07</x:v>
      </x:c>
    </x:row>
    <x:row r="112" ht="21" customHeight="1">
      <x:c r="A112" s="83" t="n">
        <x:v>45843</x:v>
      </x:c>
      <x:c r="B112" t="str">
        <x:v>sábado</x:v>
      </x:c>
      <x:c r="C112" s="85" t="n">
        <x:v>0.5416666666666666</x:v>
      </x:c>
      <x:c r="D112" s="85"/>
      <x:c r="E112" s="85"/>
      <x:c r="F112" s="85" t="n">
        <x:v>0.7104166666666667</x:v>
      </x:c>
      <x:c r="G112" t="str">
        <x:f>TEXT(INT(K112/60),"00")&amp;":"&amp;TEXT(MOD(K112,60),"00")</x:f>
        <x:v>04:03</x:v>
      </x:c>
      <x:c r="H112" t="str">
        <x:f>TEXT(INT(L112/60),"00")&amp;":"&amp;TEXT(MOD(L112,60),"00")</x:f>
        <x:v>04:00</x:v>
      </x:c>
      <x:c r="I112" t="str">
        <x:f>IF(N112&gt;0,"+"&amp;TEXT(INT(N112/60),"00")&amp;":"&amp;TEXT(MOD(N112,60),"00"),"00:00")</x:f>
        <x:v>+00:03</x:v>
      </x:c>
      <x:c r="J112" t="str">
        <x:f>IF(O112&gt;0,"-"&amp;TEXT(INT(O112/60),"00")&amp;":"&amp;TEXT(MOD(O112,60),"00"),"00:00")</x:f>
        <x:v>00:00</x:v>
      </x:c>
      <x:c r="K112" t="n">
        <x:f>ROUND((F112-C112-IF(OR(D112="",E112=""),0,E112-D112))*1440,0)</x:f>
        <x:v>243</x:v>
      </x:c>
      <x:c r="L112" t="n">
        <x:v>240</x:v>
      </x:c>
      <x:c r="M112" t="n">
        <x:f>K112-L112</x:f>
        <x:v>3</x:v>
      </x:c>
      <x:c r="N112" t="n">
        <x:f>MAX(0,M112)</x:f>
        <x:v>3</x:v>
      </x:c>
      <x:c r="O112" t="n">
        <x:f>MAX(0,-M112)</x:f>
        <x:v>0</x:v>
      </x:c>
      <x:c r="P112" t="str">
        <x:v>Ponto registrado — jornada revisada</x:v>
      </x:c>
      <x:c r="Q112" t="str">
        <x:v>Horários da planilha de jornadas revisada</x:v>
      </x:c>
      <x:c r="R112" t="str">
        <x:v>2025-07</x:v>
      </x:c>
    </x:row>
    <x:row r="113" ht="21" customHeight="1">
      <x:c r="A113" s="83" t="n">
        <x:v>45845</x:v>
      </x:c>
      <x:c r="B113" t="str">
        <x:v>segunda-feira</x:v>
      </x:c>
      <x:c r="C113" s="85" t="n">
        <x:v>0.5451388888888888</x:v>
      </x:c>
      <x:c r="D113" s="85" t="n">
        <x:v>0.6784722222222223</x:v>
      </x:c>
      <x:c r="E113" s="85" t="n">
        <x:v>0.7208333333333333</x:v>
      </x:c>
      <x:c r="F113" s="85" t="n">
        <x:v>0.8902777777777777</x:v>
      </x:c>
      <x:c r="G113" t="str">
        <x:f>TEXT(INT(K113/60),"00")&amp;":"&amp;TEXT(MOD(K113,60),"00")</x:f>
        <x:v>07:16</x:v>
      </x:c>
      <x:c r="H113" t="str">
        <x:f>TEXT(INT(L113/60),"00")&amp;":"&amp;TEXT(MOD(L113,60),"00")</x:f>
        <x:v>07:20</x:v>
      </x:c>
      <x:c r="I113" t="str">
        <x:f>IF(N113&gt;0,"+"&amp;TEXT(INT(N113/60),"00")&amp;":"&amp;TEXT(MOD(N113,60),"00"),"00:00")</x:f>
        <x:v>00:00</x:v>
      </x:c>
      <x:c r="J113" t="str">
        <x:f>IF(O113&gt;0,"-"&amp;TEXT(INT(O113/60),"00")&amp;":"&amp;TEXT(MOD(O113,60),"00"),"00:00")</x:f>
        <x:v>-00:04</x:v>
      </x:c>
      <x:c r="K113" t="n">
        <x:f>ROUND((F113-C113-IF(OR(D113="",E113=""),0,E113-D113))*1440,0)</x:f>
        <x:v>436</x:v>
      </x:c>
      <x:c r="L113" t="n">
        <x:v>440</x:v>
      </x:c>
      <x:c r="M113" t="n">
        <x:f>K113-L113</x:f>
        <x:v>-4</x:v>
      </x:c>
      <x:c r="N113" t="n">
        <x:f>MAX(0,M113)</x:f>
        <x:v>0</x:v>
      </x:c>
      <x:c r="O113" t="n">
        <x:f>MAX(0,-M113)</x:f>
        <x:v>4</x:v>
      </x:c>
      <x:c r="P113" t="str">
        <x:v>Ponto registrado — complemento ilustrativo</x:v>
      </x:c>
      <x:c r="Q113" t="str">
        <x:v>Saída da CONFERÊNCIA DE CAIXA; entrada/intervalo simulados</x:v>
      </x:c>
      <x:c r="R113" t="str">
        <x:v>2025-07</x:v>
      </x:c>
    </x:row>
    <x:row r="114" ht="21" customHeight="1">
      <x:c r="A114" s="83" t="n">
        <x:v>45846</x:v>
      </x:c>
      <x:c r="B114" t="str">
        <x:v>terça-feira</x:v>
      </x:c>
      <x:c r="C114" s="85" t="n">
        <x:v>0.54375</x:v>
      </x:c>
      <x:c r="D114" s="85" t="n">
        <x:v>0.6701388888888888</x:v>
      </x:c>
      <x:c r="E114" s="85" t="n">
        <x:v>0.7104166666666667</x:v>
      </x:c>
      <x:c r="F114" s="85" t="n">
        <x:v>0.8902777777777777</x:v>
      </x:c>
      <x:c r="G114" t="str">
        <x:f>TEXT(INT(K114/60),"00")&amp;":"&amp;TEXT(MOD(K114,60),"00")</x:f>
        <x:v>07:21</x:v>
      </x:c>
      <x:c r="H114" t="str">
        <x:f>TEXT(INT(L114/60),"00")&amp;":"&amp;TEXT(MOD(L114,60),"00")</x:f>
        <x:v>07:20</x:v>
      </x:c>
      <x:c r="I114" t="str">
        <x:f>IF(N114&gt;0,"+"&amp;TEXT(INT(N114/60),"00")&amp;":"&amp;TEXT(MOD(N114,60),"00"),"00:00")</x:f>
        <x:v>+00:01</x:v>
      </x:c>
      <x:c r="J114" t="str">
        <x:f>IF(O114&gt;0,"-"&amp;TEXT(INT(O114/60),"00")&amp;":"&amp;TEXT(MOD(O114,60),"00"),"00:00")</x:f>
        <x:v>00:00</x:v>
      </x:c>
      <x:c r="K114" t="n">
        <x:f>ROUND((F114-C114-IF(OR(D114="",E114=""),0,E114-D114))*1440,0)</x:f>
        <x:v>441</x:v>
      </x:c>
      <x:c r="L114" t="n">
        <x:v>440</x:v>
      </x:c>
      <x:c r="M114" t="n">
        <x:f>K114-L114</x:f>
        <x:v>1</x:v>
      </x:c>
      <x:c r="N114" t="n">
        <x:f>MAX(0,M114)</x:f>
        <x:v>1</x:v>
      </x:c>
      <x:c r="O114" t="n">
        <x:f>MAX(0,-M114)</x:f>
        <x:v>0</x:v>
      </x:c>
      <x:c r="P114" t="str">
        <x:v>Ponto registrado — complemento ilustrativo</x:v>
      </x:c>
      <x:c r="Q114" t="str">
        <x:v>Saída da CONFERÊNCIA DE CAIXA; entrada/intervalo simulados</x:v>
      </x:c>
      <x:c r="R114" t="str">
        <x:v>2025-07</x:v>
      </x:c>
    </x:row>
    <x:row r="115" ht="21" customHeight="1">
      <x:c r="A115" s="83" t="n">
        <x:v>45847</x:v>
      </x:c>
      <x:c r="B115" t="str">
        <x:v>quarta-feira</x:v>
      </x:c>
      <x:c r="C115" s="85" t="n">
        <x:v>0.5395833333333333</x:v>
      </x:c>
      <x:c r="D115" s="85" t="n">
        <x:v>0.6756944444444445</x:v>
      </x:c>
      <x:c r="E115" s="85" t="n">
        <x:v>0.71875</x:v>
      </x:c>
      <x:c r="F115" s="85" t="n">
        <x:v>0.8916666666666667</x:v>
      </x:c>
      <x:c r="G115" t="str">
        <x:f>TEXT(INT(K115/60),"00")&amp;":"&amp;TEXT(MOD(K115,60),"00")</x:f>
        <x:v>07:25</x:v>
      </x:c>
      <x:c r="H115" t="str">
        <x:f>TEXT(INT(L115/60),"00")&amp;":"&amp;TEXT(MOD(L115,60),"00")</x:f>
        <x:v>07:20</x:v>
      </x:c>
      <x:c r="I115" t="str">
        <x:f>IF(N115&gt;0,"+"&amp;TEXT(INT(N115/60),"00")&amp;":"&amp;TEXT(MOD(N115,60),"00"),"00:00")</x:f>
        <x:v>+00:05</x:v>
      </x:c>
      <x:c r="J115" t="str">
        <x:f>IF(O115&gt;0,"-"&amp;TEXT(INT(O115/60),"00")&amp;":"&amp;TEXT(MOD(O115,60),"00"),"00:00")</x:f>
        <x:v>00:00</x:v>
      </x:c>
      <x:c r="K115" t="n">
        <x:f>ROUND((F115-C115-IF(OR(D115="",E115=""),0,E115-D115))*1440,0)</x:f>
        <x:v>445</x:v>
      </x:c>
      <x:c r="L115" t="n">
        <x:v>440</x:v>
      </x:c>
      <x:c r="M115" t="n">
        <x:f>K115-L115</x:f>
        <x:v>5</x:v>
      </x:c>
      <x:c r="N115" t="n">
        <x:f>MAX(0,M115)</x:f>
        <x:v>5</x:v>
      </x:c>
      <x:c r="O115" t="n">
        <x:f>MAX(0,-M115)</x:f>
        <x:v>0</x:v>
      </x:c>
      <x:c r="P115" t="str">
        <x:v>Ponto registrado — complemento ilustrativo</x:v>
      </x:c>
      <x:c r="Q115" t="str">
        <x:v>Saída da CONFERÊNCIA DE CAIXA; entrada/intervalo simulados</x:v>
      </x:c>
      <x:c r="R115" t="str">
        <x:v>2025-07</x:v>
      </x:c>
    </x:row>
    <x:row r="116" ht="21" customHeight="1">
      <x:c r="A116" s="83" t="n">
        <x:v>45848</x:v>
      </x:c>
      <x:c r="B116" t="str">
        <x:v>quinta-feira</x:v>
      </x:c>
      <x:c r="C116" s="85" t="n">
        <x:v>0.5458333333333333</x:v>
      </x:c>
      <x:c r="D116" s="85" t="n">
        <x:v>0.6701388888888888</x:v>
      </x:c>
      <x:c r="E116" s="85" t="n">
        <x:v>0.7118055555555556</x:v>
      </x:c>
      <x:c r="F116" s="85" t="n">
        <x:v>0.8895833333333333</x:v>
      </x:c>
      <x:c r="G116" t="str">
        <x:f>TEXT(INT(K116/60),"00")&amp;":"&amp;TEXT(MOD(K116,60),"00")</x:f>
        <x:v>07:15</x:v>
      </x:c>
      <x:c r="H116" t="str">
        <x:f>TEXT(INT(L116/60),"00")&amp;":"&amp;TEXT(MOD(L116,60),"00")</x:f>
        <x:v>07:20</x:v>
      </x:c>
      <x:c r="I116" t="str">
        <x:f>IF(N116&gt;0,"+"&amp;TEXT(INT(N116/60),"00")&amp;":"&amp;TEXT(MOD(N116,60),"00"),"00:00")</x:f>
        <x:v>00:00</x:v>
      </x:c>
      <x:c r="J116" t="str">
        <x:f>IF(O116&gt;0,"-"&amp;TEXT(INT(O116/60),"00")&amp;":"&amp;TEXT(MOD(O116,60),"00"),"00:00")</x:f>
        <x:v>-00:05</x:v>
      </x:c>
      <x:c r="K116" t="n">
        <x:f>ROUND((F116-C116-IF(OR(D116="",E116=""),0,E116-D116))*1440,0)</x:f>
        <x:v>435</x:v>
      </x:c>
      <x:c r="L116" t="n">
        <x:v>440</x:v>
      </x:c>
      <x:c r="M116" t="n">
        <x:f>K116-L116</x:f>
        <x:v>-5</x:v>
      </x:c>
      <x:c r="N116" t="n">
        <x:f>MAX(0,M116)</x:f>
        <x:v>0</x:v>
      </x:c>
      <x:c r="O116" t="n">
        <x:f>MAX(0,-M116)</x:f>
        <x:v>5</x:v>
      </x:c>
      <x:c r="P116" t="str">
        <x:v>Ponto registrado — complemento ilustrativo</x:v>
      </x:c>
      <x:c r="Q116" t="str">
        <x:v>Saída da CONFERÊNCIA DE CAIXA; entrada/intervalo simulados</x:v>
      </x:c>
      <x:c r="R116" t="str">
        <x:v>2025-07</x:v>
      </x:c>
    </x:row>
    <x:row r="117" ht="21" customHeight="1">
      <x:c r="A117" s="83" t="n">
        <x:v>45849</x:v>
      </x:c>
      <x:c r="B117" t="str">
        <x:v>sexta-feira</x:v>
      </x:c>
      <x:c r="C117" s="85" t="n">
        <x:v>0.5451388888888888</x:v>
      </x:c>
      <x:c r="D117" s="85" t="n">
        <x:v>0.66875</x:v>
      </x:c>
      <x:c r="E117" s="85" t="n">
        <x:v>0.7125</x:v>
      </x:c>
      <x:c r="F117" s="85" t="n">
        <x:v>0.8902777777777777</x:v>
      </x:c>
      <x:c r="G117" t="str">
        <x:f>TEXT(INT(K117/60),"00")&amp;":"&amp;TEXT(MOD(K117,60),"00")</x:f>
        <x:v>07:14</x:v>
      </x:c>
      <x:c r="H117" t="str">
        <x:f>TEXT(INT(L117/60),"00")&amp;":"&amp;TEXT(MOD(L117,60),"00")</x:f>
        <x:v>07:20</x:v>
      </x:c>
      <x:c r="I117" t="str">
        <x:f>IF(N117&gt;0,"+"&amp;TEXT(INT(N117/60),"00")&amp;":"&amp;TEXT(MOD(N117,60),"00"),"00:00")</x:f>
        <x:v>00:00</x:v>
      </x:c>
      <x:c r="J117" t="str">
        <x:f>IF(O117&gt;0,"-"&amp;TEXT(INT(O117/60),"00")&amp;":"&amp;TEXT(MOD(O117,60),"00"),"00:00")</x:f>
        <x:v>-00:06</x:v>
      </x:c>
      <x:c r="K117" t="n">
        <x:f>ROUND((F117-C117-IF(OR(D117="",E117=""),0,E117-D117))*1440,0)</x:f>
        <x:v>434</x:v>
      </x:c>
      <x:c r="L117" t="n">
        <x:v>440</x:v>
      </x:c>
      <x:c r="M117" t="n">
        <x:f>K117-L117</x:f>
        <x:v>-6</x:v>
      </x:c>
      <x:c r="N117" t="n">
        <x:f>MAX(0,M117)</x:f>
        <x:v>0</x:v>
      </x:c>
      <x:c r="O117" t="n">
        <x:f>MAX(0,-M117)</x:f>
        <x:v>6</x:v>
      </x:c>
      <x:c r="P117" t="str">
        <x:v>Ponto registrado — complemento ilustrativo</x:v>
      </x:c>
      <x:c r="Q117" t="str">
        <x:v>Saída da CONFERÊNCIA DE CAIXA; entrada/intervalo simulados</x:v>
      </x:c>
      <x:c r="R117" t="str">
        <x:v>2025-07</x:v>
      </x:c>
    </x:row>
    <x:row r="118" ht="21" customHeight="1">
      <x:c r="A118" s="83" t="n">
        <x:v>45850</x:v>
      </x:c>
      <x:c r="B118" t="str">
        <x:v>sábado</x:v>
      </x:c>
      <x:c r="C118" s="85" t="n">
        <x:v>0.5375</x:v>
      </x:c>
      <x:c r="D118" s="85"/>
      <x:c r="E118" s="85"/>
      <x:c r="F118" s="85" t="n">
        <x:v>0.7013888888888888</x:v>
      </x:c>
      <x:c r="G118" t="str">
        <x:f>TEXT(INT(K118/60),"00")&amp;":"&amp;TEXT(MOD(K118,60),"00")</x:f>
        <x:v>03:56</x:v>
      </x:c>
      <x:c r="H118" t="str">
        <x:f>TEXT(INT(L118/60),"00")&amp;":"&amp;TEXT(MOD(L118,60),"00")</x:f>
        <x:v>04:00</x:v>
      </x:c>
      <x:c r="I118" t="str">
        <x:f>IF(N118&gt;0,"+"&amp;TEXT(INT(N118/60),"00")&amp;":"&amp;TEXT(MOD(N118,60),"00"),"00:00")</x:f>
        <x:v>00:00</x:v>
      </x:c>
      <x:c r="J118" t="str">
        <x:f>IF(O118&gt;0,"-"&amp;TEXT(INT(O118/60),"00")&amp;":"&amp;TEXT(MOD(O118,60),"00"),"00:00")</x:f>
        <x:v>-00:04</x:v>
      </x:c>
      <x:c r="K118" t="n">
        <x:f>ROUND((F118-C118-IF(OR(D118="",E118=""),0,E118-D118))*1440,0)</x:f>
        <x:v>236</x:v>
      </x:c>
      <x:c r="L118" t="n">
        <x:v>240</x:v>
      </x:c>
      <x:c r="M118" t="n">
        <x:f>K118-L118</x:f>
        <x:v>-4</x:v>
      </x:c>
      <x:c r="N118" t="n">
        <x:f>MAX(0,M118)</x:f>
        <x:v>0</x:v>
      </x:c>
      <x:c r="O118" t="n">
        <x:f>MAX(0,-M118)</x:f>
        <x:v>4</x:v>
      </x:c>
      <x:c r="P118" t="str">
        <x:v>Ponto registrado — complemento ilustrativo</x:v>
      </x:c>
      <x:c r="Q118" t="str">
        <x:v>Saída da CONFERÊNCIA DE CAIXA; entrada/intervalo simulados</x:v>
      </x:c>
      <x:c r="R118" t="str">
        <x:v>2025-07</x:v>
      </x:c>
    </x:row>
    <x:row r="119" ht="21" customHeight="1">
      <x:c r="A119" s="83" t="n">
        <x:v>45852</x:v>
      </x:c>
      <x:c r="B119" t="str">
        <x:v>segunda-feira</x:v>
      </x:c>
      <x:c r="C119" s="85" t="n">
        <x:v>0.5472222222222223</x:v>
      </x:c>
      <x:c r="D119" s="85" t="n">
        <x:v>0.675</x:v>
      </x:c>
      <x:c r="E119" s="85" t="n">
        <x:v>0.7138888888888889</x:v>
      </x:c>
      <x:c r="F119" s="85" t="n">
        <x:v>0.8881944444444444</x:v>
      </x:c>
      <x:c r="G119" t="str">
        <x:f>TEXT(INT(K119/60),"00")&amp;":"&amp;TEXT(MOD(K119,60),"00")</x:f>
        <x:v>07:15</x:v>
      </x:c>
      <x:c r="H119" t="str">
        <x:f>TEXT(INT(L119/60),"00")&amp;":"&amp;TEXT(MOD(L119,60),"00")</x:f>
        <x:v>07:20</x:v>
      </x:c>
      <x:c r="I119" t="str">
        <x:f>IF(N119&gt;0,"+"&amp;TEXT(INT(N119/60),"00")&amp;":"&amp;TEXT(MOD(N119,60),"00"),"00:00")</x:f>
        <x:v>00:00</x:v>
      </x:c>
      <x:c r="J119" t="str">
        <x:f>IF(O119&gt;0,"-"&amp;TEXT(INT(O119/60),"00")&amp;":"&amp;TEXT(MOD(O119,60),"00"),"00:00")</x:f>
        <x:v>-00:05</x:v>
      </x:c>
      <x:c r="K119" t="n">
        <x:f>ROUND((F119-C119-IF(OR(D119="",E119=""),0,E119-D119))*1440,0)</x:f>
        <x:v>435</x:v>
      </x:c>
      <x:c r="L119" t="n">
        <x:v>440</x:v>
      </x:c>
      <x:c r="M119" t="n">
        <x:f>K119-L119</x:f>
        <x:v>-5</x:v>
      </x:c>
      <x:c r="N119" t="n">
        <x:f>MAX(0,M119)</x:f>
        <x:v>0</x:v>
      </x:c>
      <x:c r="O119" t="n">
        <x:f>MAX(0,-M119)</x:f>
        <x:v>5</x:v>
      </x:c>
      <x:c r="P119" t="str">
        <x:v>Ponto registrado — complemento ilustrativo</x:v>
      </x:c>
      <x:c r="Q119" t="str">
        <x:v>Saída da CONFERÊNCIA DE CAIXA; entrada/intervalo simulados</x:v>
      </x:c>
      <x:c r="R119" t="str">
        <x:v>2025-07</x:v>
      </x:c>
    </x:row>
    <x:row r="120" ht="21" customHeight="1">
      <x:c r="A120" s="83" t="n">
        <x:v>45853</x:v>
      </x:c>
      <x:c r="B120" t="str">
        <x:v>terça-feira</x:v>
      </x:c>
      <x:c r="C120" s="85" t="n">
        <x:v>0.5388888888888889</x:v>
      </x:c>
      <x:c r="D120" s="85" t="n">
        <x:v>0.6680555555555555</x:v>
      </x:c>
      <x:c r="E120" s="85" t="n">
        <x:v>0.7104166666666667</x:v>
      </x:c>
      <x:c r="F120" s="85" t="n">
        <x:v>0.8861111111111111</x:v>
      </x:c>
      <x:c r="G120" t="str">
        <x:f>TEXT(INT(K120/60),"00")&amp;":"&amp;TEXT(MOD(K120,60),"00")</x:f>
        <x:v>07:19</x:v>
      </x:c>
      <x:c r="H120" t="str">
        <x:f>TEXT(INT(L120/60),"00")&amp;":"&amp;TEXT(MOD(L120,60),"00")</x:f>
        <x:v>07:20</x:v>
      </x:c>
      <x:c r="I120" t="str">
        <x:f>IF(N120&gt;0,"+"&amp;TEXT(INT(N120/60),"00")&amp;":"&amp;TEXT(MOD(N120,60),"00"),"00:00")</x:f>
        <x:v>00:00</x:v>
      </x:c>
      <x:c r="J120" t="str">
        <x:f>IF(O120&gt;0,"-"&amp;TEXT(INT(O120/60),"00")&amp;":"&amp;TEXT(MOD(O120,60),"00"),"00:00")</x:f>
        <x:v>-00:01</x:v>
      </x:c>
      <x:c r="K120" t="n">
        <x:f>ROUND((F120-C120-IF(OR(D120="",E120=""),0,E120-D120))*1440,0)</x:f>
        <x:v>439</x:v>
      </x:c>
      <x:c r="L120" t="n">
        <x:v>440</x:v>
      </x:c>
      <x:c r="M120" t="n">
        <x:f>K120-L120</x:f>
        <x:v>-1</x:v>
      </x:c>
      <x:c r="N120" t="n">
        <x:f>MAX(0,M120)</x:f>
        <x:v>0</x:v>
      </x:c>
      <x:c r="O120" t="n">
        <x:f>MAX(0,-M120)</x:f>
        <x:v>1</x:v>
      </x:c>
      <x:c r="P120" t="str">
        <x:v>Ponto registrado — complemento ilustrativo</x:v>
      </x:c>
      <x:c r="Q120" t="str">
        <x:v>Saída da CONFERÊNCIA DE CAIXA; entrada/intervalo simulados</x:v>
      </x:c>
      <x:c r="R120" t="str">
        <x:v>2025-07</x:v>
      </x:c>
    </x:row>
    <x:row r="121" ht="21" customHeight="1">
      <x:c r="A121" s="83" t="n">
        <x:v>45854</x:v>
      </x:c>
      <x:c r="B121" t="str">
        <x:v>quarta-feira</x:v>
      </x:c>
      <x:c r="C121" s="85" t="n">
        <x:v>0.5472222222222223</x:v>
      </x:c>
      <x:c r="D121" s="85" t="n">
        <x:v>0.6729166666666667</x:v>
      </x:c>
      <x:c r="E121" s="85" t="n">
        <x:v>0.7166666666666667</x:v>
      </x:c>
      <x:c r="F121" s="85" t="n">
        <x:v>0.8895833333333333</x:v>
      </x:c>
      <x:c r="G121" t="str">
        <x:f>TEXT(INT(K121/60),"00")&amp;":"&amp;TEXT(MOD(K121,60),"00")</x:f>
        <x:v>07:10</x:v>
      </x:c>
      <x:c r="H121" t="str">
        <x:f>TEXT(INT(L121/60),"00")&amp;":"&amp;TEXT(MOD(L121,60),"00")</x:f>
        <x:v>07:20</x:v>
      </x:c>
      <x:c r="I121" t="str">
        <x:f>IF(N121&gt;0,"+"&amp;TEXT(INT(N121/60),"00")&amp;":"&amp;TEXT(MOD(N121,60),"00"),"00:00")</x:f>
        <x:v>00:00</x:v>
      </x:c>
      <x:c r="J121" t="str">
        <x:f>IF(O121&gt;0,"-"&amp;TEXT(INT(O121/60),"00")&amp;":"&amp;TEXT(MOD(O121,60),"00"),"00:00")</x:f>
        <x:v>-00:10</x:v>
      </x:c>
      <x:c r="K121" t="n">
        <x:f>ROUND((F121-C121-IF(OR(D121="",E121=""),0,E121-D121))*1440,0)</x:f>
        <x:v>430</x:v>
      </x:c>
      <x:c r="L121" t="n">
        <x:v>440</x:v>
      </x:c>
      <x:c r="M121" t="n">
        <x:f>K121-L121</x:f>
        <x:v>-10</x:v>
      </x:c>
      <x:c r="N121" t="n">
        <x:f>MAX(0,M121)</x:f>
        <x:v>0</x:v>
      </x:c>
      <x:c r="O121" t="n">
        <x:f>MAX(0,-M121)</x:f>
        <x:v>10</x:v>
      </x:c>
      <x:c r="P121" t="str">
        <x:v>Ponto registrado — complemento ilustrativo</x:v>
      </x:c>
      <x:c r="Q121" t="str">
        <x:v>Saída da CONFERÊNCIA DE CAIXA; entrada/intervalo simulados</x:v>
      </x:c>
      <x:c r="R121" t="str">
        <x:v>2025-07</x:v>
      </x:c>
    </x:row>
    <x:row r="122" ht="21" customHeight="1">
      <x:c r="A122" s="83" t="n">
        <x:v>45855</x:v>
      </x:c>
      <x:c r="B122" t="str">
        <x:v>quinta-feira</x:v>
      </x:c>
      <x:c r="C122" s="85" t="n">
        <x:v>0.5472222222222223</x:v>
      </x:c>
      <x:c r="D122" s="85" t="n">
        <x:v>0.68125</x:v>
      </x:c>
      <x:c r="E122" s="85" t="n">
        <x:v>0.7222222222222222</x:v>
      </x:c>
      <x:c r="F122" s="85" t="n">
        <x:v>0.8881944444444444</x:v>
      </x:c>
      <x:c r="G122" t="str">
        <x:f>TEXT(INT(K122/60),"00")&amp;":"&amp;TEXT(MOD(K122,60),"00")</x:f>
        <x:v>07:12</x:v>
      </x:c>
      <x:c r="H122" t="str">
        <x:f>TEXT(INT(L122/60),"00")&amp;":"&amp;TEXT(MOD(L122,60),"00")</x:f>
        <x:v>07:20</x:v>
      </x:c>
      <x:c r="I122" t="str">
        <x:f>IF(N122&gt;0,"+"&amp;TEXT(INT(N122/60),"00")&amp;":"&amp;TEXT(MOD(N122,60),"00"),"00:00")</x:f>
        <x:v>00:00</x:v>
      </x:c>
      <x:c r="J122" t="str">
        <x:f>IF(O122&gt;0,"-"&amp;TEXT(INT(O122/60),"00")&amp;":"&amp;TEXT(MOD(O122,60),"00"),"00:00")</x:f>
        <x:v>-00:08</x:v>
      </x:c>
      <x:c r="K122" t="n">
        <x:f>ROUND((F122-C122-IF(OR(D122="",E122=""),0,E122-D122))*1440,0)</x:f>
        <x:v>432</x:v>
      </x:c>
      <x:c r="L122" t="n">
        <x:v>440</x:v>
      </x:c>
      <x:c r="M122" t="n">
        <x:f>K122-L122</x:f>
        <x:v>-8</x:v>
      </x:c>
      <x:c r="N122" t="n">
        <x:f>MAX(0,M122)</x:f>
        <x:v>0</x:v>
      </x:c>
      <x:c r="O122" t="n">
        <x:f>MAX(0,-M122)</x:f>
        <x:v>8</x:v>
      </x:c>
      <x:c r="P122" t="str">
        <x:v>Ponto registrado — complemento ilustrativo</x:v>
      </x:c>
      <x:c r="Q122" t="str">
        <x:v>Saída da CONFERÊNCIA DE CAIXA; entrada/intervalo simulados</x:v>
      </x:c>
      <x:c r="R122" t="str">
        <x:v>2025-07</x:v>
      </x:c>
    </x:row>
    <x:row r="123" ht="21" customHeight="1">
      <x:c r="A123" s="83" t="n">
        <x:v>45856</x:v>
      </x:c>
      <x:c r="B123" t="str">
        <x:v>sexta-feira</x:v>
      </x:c>
      <x:c r="C123" s="85" t="n">
        <x:v>0.5395833333333333</x:v>
      </x:c>
      <x:c r="D123" s="85" t="n">
        <x:v>0.6701388888888888</x:v>
      </x:c>
      <x:c r="E123" s="85" t="n">
        <x:v>0.7138888888888889</x:v>
      </x:c>
      <x:c r="F123" s="85" t="n">
        <x:v>0.8902777777777777</x:v>
      </x:c>
      <x:c r="G123" t="str">
        <x:f>TEXT(INT(K123/60),"00")&amp;":"&amp;TEXT(MOD(K123,60),"00")</x:f>
        <x:v>07:22</x:v>
      </x:c>
      <x:c r="H123" t="str">
        <x:f>TEXT(INT(L123/60),"00")&amp;":"&amp;TEXT(MOD(L123,60),"00")</x:f>
        <x:v>07:20</x:v>
      </x:c>
      <x:c r="I123" t="str">
        <x:f>IF(N123&gt;0,"+"&amp;TEXT(INT(N123/60),"00")&amp;":"&amp;TEXT(MOD(N123,60),"00"),"00:00")</x:f>
        <x:v>+00:02</x:v>
      </x:c>
      <x:c r="J123" t="str">
        <x:f>IF(O123&gt;0,"-"&amp;TEXT(INT(O123/60),"00")&amp;":"&amp;TEXT(MOD(O123,60),"00"),"00:00")</x:f>
        <x:v>00:00</x:v>
      </x:c>
      <x:c r="K123" t="n">
        <x:f>ROUND((F123-C123-IF(OR(D123="",E123=""),0,E123-D123))*1440,0)</x:f>
        <x:v>442</x:v>
      </x:c>
      <x:c r="L123" t="n">
        <x:v>440</x:v>
      </x:c>
      <x:c r="M123" t="n">
        <x:f>K123-L123</x:f>
        <x:v>2</x:v>
      </x:c>
      <x:c r="N123" t="n">
        <x:f>MAX(0,M123)</x:f>
        <x:v>2</x:v>
      </x:c>
      <x:c r="O123" t="n">
        <x:f>MAX(0,-M123)</x:f>
        <x:v>0</x:v>
      </x:c>
      <x:c r="P123" t="str">
        <x:v>Ponto registrado — complemento ilustrativo</x:v>
      </x:c>
      <x:c r="Q123" t="str">
        <x:v>Saída da CONFERÊNCIA DE CAIXA; entrada/intervalo simulados</x:v>
      </x:c>
      <x:c r="R123" t="str">
        <x:v>2025-07</x:v>
      </x:c>
    </x:row>
    <x:row r="124" ht="21" customHeight="1">
      <x:c r="A124" s="83" t="n">
        <x:v>45857</x:v>
      </x:c>
      <x:c r="B124" t="str">
        <x:v>sábado</x:v>
      </x:c>
      <x:c r="C124" s="85" t="n">
        <x:v>0.5423611111111111</x:v>
      </x:c>
      <x:c r="D124" s="85"/>
      <x:c r="E124" s="85"/>
      <x:c r="F124" s="85" t="n">
        <x:v>0.7083333333333334</x:v>
      </x:c>
      <x:c r="G124" t="str">
        <x:f>TEXT(INT(K124/60),"00")&amp;":"&amp;TEXT(MOD(K124,60),"00")</x:f>
        <x:v>03:59</x:v>
      </x:c>
      <x:c r="H124" t="str">
        <x:f>TEXT(INT(L124/60),"00")&amp;":"&amp;TEXT(MOD(L124,60),"00")</x:f>
        <x:v>04:00</x:v>
      </x:c>
      <x:c r="I124" t="str">
        <x:f>IF(N124&gt;0,"+"&amp;TEXT(INT(N124/60),"00")&amp;":"&amp;TEXT(MOD(N124,60),"00"),"00:00")</x:f>
        <x:v>00:00</x:v>
      </x:c>
      <x:c r="J124" t="str">
        <x:f>IF(O124&gt;0,"-"&amp;TEXT(INT(O124/60),"00")&amp;":"&amp;TEXT(MOD(O124,60),"00"),"00:00")</x:f>
        <x:v>-00:01</x:v>
      </x:c>
      <x:c r="K124" t="n">
        <x:f>ROUND((F124-C124-IF(OR(D124="",E124=""),0,E124-D124))*1440,0)</x:f>
        <x:v>239</x:v>
      </x:c>
      <x:c r="L124" t="n">
        <x:v>240</x:v>
      </x:c>
      <x:c r="M124" t="n">
        <x:f>K124-L124</x:f>
        <x:v>-1</x:v>
      </x:c>
      <x:c r="N124" t="n">
        <x:f>MAX(0,M124)</x:f>
        <x:v>0</x:v>
      </x:c>
      <x:c r="O124" t="n">
        <x:f>MAX(0,-M124)</x:f>
        <x:v>1</x:v>
      </x:c>
      <x:c r="P124" t="str">
        <x:v>Ponto registrado — jornada revisada</x:v>
      </x:c>
      <x:c r="Q124" t="str">
        <x:v>Horários da planilha de jornadas revisada</x:v>
      </x:c>
      <x:c r="R124" t="str">
        <x:v>2025-07</x:v>
      </x:c>
    </x:row>
    <x:row r="125" ht="21" customHeight="1">
      <x:c r="A125" s="83" t="n">
        <x:v>45859</x:v>
      </x:c>
      <x:c r="B125" t="str">
        <x:v>segunda-feira</x:v>
      </x:c>
      <x:c r="C125" s="85" t="n">
        <x:v>0.5458333333333333</x:v>
      </x:c>
      <x:c r="D125" s="85" t="n">
        <x:v>0.675</x:v>
      </x:c>
      <x:c r="E125" s="85" t="n">
        <x:v>0.7159722222222222</x:v>
      </x:c>
      <x:c r="F125" s="85" t="n">
        <x:v>0.8881944444444444</x:v>
      </x:c>
      <x:c r="G125" t="str">
        <x:f>TEXT(INT(K125/60),"00")&amp;":"&amp;TEXT(MOD(K125,60),"00")</x:f>
        <x:v>07:14</x:v>
      </x:c>
      <x:c r="H125" t="str">
        <x:f>TEXT(INT(L125/60),"00")&amp;":"&amp;TEXT(MOD(L125,60),"00")</x:f>
        <x:v>07:20</x:v>
      </x:c>
      <x:c r="I125" t="str">
        <x:f>IF(N125&gt;0,"+"&amp;TEXT(INT(N125/60),"00")&amp;":"&amp;TEXT(MOD(N125,60),"00"),"00:00")</x:f>
        <x:v>00:00</x:v>
      </x:c>
      <x:c r="J125" t="str">
        <x:f>IF(O125&gt;0,"-"&amp;TEXT(INT(O125/60),"00")&amp;":"&amp;TEXT(MOD(O125,60),"00"),"00:00")</x:f>
        <x:v>-00:06</x:v>
      </x:c>
      <x:c r="K125" t="n">
        <x:f>ROUND((F125-C125-IF(OR(D125="",E125=""),0,E125-D125))*1440,0)</x:f>
        <x:v>434</x:v>
      </x:c>
      <x:c r="L125" t="n">
        <x:v>440</x:v>
      </x:c>
      <x:c r="M125" t="n">
        <x:f>K125-L125</x:f>
        <x:v>-6</x:v>
      </x:c>
      <x:c r="N125" t="n">
        <x:f>MAX(0,M125)</x:f>
        <x:v>0</x:v>
      </x:c>
      <x:c r="O125" t="n">
        <x:f>MAX(0,-M125)</x:f>
        <x:v>6</x:v>
      </x:c>
      <x:c r="P125" t="str">
        <x:v>Ponto registrado — complemento ilustrativo</x:v>
      </x:c>
      <x:c r="Q125" t="str">
        <x:v>Saída da CONFERÊNCIA DE CAIXA; entrada/intervalo simulados</x:v>
      </x:c>
      <x:c r="R125" t="str">
        <x:v>2025-07</x:v>
      </x:c>
    </x:row>
    <x:row r="126" ht="21" customHeight="1">
      <x:c r="A126" s="83" t="n">
        <x:v>45860</x:v>
      </x:c>
      <x:c r="B126" t="str">
        <x:v>terça-feira</x:v>
      </x:c>
      <x:c r="C126" s="85" t="n">
        <x:v>0.5444444444444444</x:v>
      </x:c>
      <x:c r="D126" s="85" t="n">
        <x:v>0.6729166666666667</x:v>
      </x:c>
      <x:c r="E126" s="85" t="n">
        <x:v>0.7152777777777778</x:v>
      </x:c>
      <x:c r="F126" s="85" t="n">
        <x:v>0.8902777777777777</x:v>
      </x:c>
      <x:c r="G126" t="str">
        <x:f>TEXT(INT(K126/60),"00")&amp;":"&amp;TEXT(MOD(K126,60),"00")</x:f>
        <x:v>07:17</x:v>
      </x:c>
      <x:c r="H126" t="str">
        <x:f>TEXT(INT(L126/60),"00")&amp;":"&amp;TEXT(MOD(L126,60),"00")</x:f>
        <x:v>07:20</x:v>
      </x:c>
      <x:c r="I126" t="str">
        <x:f>IF(N126&gt;0,"+"&amp;TEXT(INT(N126/60),"00")&amp;":"&amp;TEXT(MOD(N126,60),"00"),"00:00")</x:f>
        <x:v>00:00</x:v>
      </x:c>
      <x:c r="J126" t="str">
        <x:f>IF(O126&gt;0,"-"&amp;TEXT(INT(O126/60),"00")&amp;":"&amp;TEXT(MOD(O126,60),"00"),"00:00")</x:f>
        <x:v>-00:03</x:v>
      </x:c>
      <x:c r="K126" t="n">
        <x:f>ROUND((F126-C126-IF(OR(D126="",E126=""),0,E126-D126))*1440,0)</x:f>
        <x:v>437</x:v>
      </x:c>
      <x:c r="L126" t="n">
        <x:v>440</x:v>
      </x:c>
      <x:c r="M126" t="n">
        <x:f>K126-L126</x:f>
        <x:v>-3</x:v>
      </x:c>
      <x:c r="N126" t="n">
        <x:f>MAX(0,M126)</x:f>
        <x:v>0</x:v>
      </x:c>
      <x:c r="O126" t="n">
        <x:f>MAX(0,-M126)</x:f>
        <x:v>3</x:v>
      </x:c>
      <x:c r="P126" t="str">
        <x:v>Ponto registrado — complemento ilustrativo</x:v>
      </x:c>
      <x:c r="Q126" t="str">
        <x:v>Saída da CONFERÊNCIA DE CAIXA; entrada/intervalo simulados</x:v>
      </x:c>
      <x:c r="R126" t="str">
        <x:v>2025-07</x:v>
      </x:c>
    </x:row>
    <x:row r="127" ht="21" customHeight="1">
      <x:c r="A127" s="83" t="n">
        <x:v>45861</x:v>
      </x:c>
      <x:c r="B127" t="str">
        <x:v>quarta-feira</x:v>
      </x:c>
      <x:c r="C127" s="85" t="n">
        <x:v>0.54375</x:v>
      </x:c>
      <x:c r="D127" s="85" t="n">
        <x:v>0.675</x:v>
      </x:c>
      <x:c r="E127" s="85" t="n">
        <x:v>0.7145833333333333</x:v>
      </x:c>
      <x:c r="F127" s="85" t="n">
        <x:v>0.8895833333333333</x:v>
      </x:c>
      <x:c r="G127" t="str">
        <x:f>TEXT(INT(K127/60),"00")&amp;":"&amp;TEXT(MOD(K127,60),"00")</x:f>
        <x:v>07:21</x:v>
      </x:c>
      <x:c r="H127" t="str">
        <x:f>TEXT(INT(L127/60),"00")&amp;":"&amp;TEXT(MOD(L127,60),"00")</x:f>
        <x:v>07:20</x:v>
      </x:c>
      <x:c r="I127" t="str">
        <x:f>IF(N127&gt;0,"+"&amp;TEXT(INT(N127/60),"00")&amp;":"&amp;TEXT(MOD(N127,60),"00"),"00:00")</x:f>
        <x:v>+00:01</x:v>
      </x:c>
      <x:c r="J127" t="str">
        <x:f>IF(O127&gt;0,"-"&amp;TEXT(INT(O127/60),"00")&amp;":"&amp;TEXT(MOD(O127,60),"00"),"00:00")</x:f>
        <x:v>00:00</x:v>
      </x:c>
      <x:c r="K127" t="n">
        <x:f>ROUND((F127-C127-IF(OR(D127="",E127=""),0,E127-D127))*1440,0)</x:f>
        <x:v>441</x:v>
      </x:c>
      <x:c r="L127" t="n">
        <x:v>440</x:v>
      </x:c>
      <x:c r="M127" t="n">
        <x:f>K127-L127</x:f>
        <x:v>1</x:v>
      </x:c>
      <x:c r="N127" t="n">
        <x:f>MAX(0,M127)</x:f>
        <x:v>1</x:v>
      </x:c>
      <x:c r="O127" t="n">
        <x:f>MAX(0,-M127)</x:f>
        <x:v>0</x:v>
      </x:c>
      <x:c r="P127" t="str">
        <x:v>Ponto registrado — complemento ilustrativo</x:v>
      </x:c>
      <x:c r="Q127" t="str">
        <x:v>Saída da CONFERÊNCIA DE CAIXA; entrada/intervalo simulados</x:v>
      </x:c>
      <x:c r="R127" t="str">
        <x:v>2025-07</x:v>
      </x:c>
    </x:row>
    <x:row r="128" ht="21" customHeight="1">
      <x:c r="A128" s="83" t="n">
        <x:v>45862</x:v>
      </x:c>
      <x:c r="B128" t="str">
        <x:v>quinta-feira</x:v>
      </x:c>
      <x:c r="C128" s="85" t="n">
        <x:v>0.5451388888888888</x:v>
      </x:c>
      <x:c r="D128" s="85" t="n">
        <x:v>0.6756944444444445</x:v>
      </x:c>
      <x:c r="E128" s="85" t="n">
        <x:v>0.7166666666666667</x:v>
      </x:c>
      <x:c r="F128" s="85" t="n">
        <x:v>0.8861111111111111</x:v>
      </x:c>
      <x:c r="G128" t="str">
        <x:f>TEXT(INT(K128/60),"00")&amp;":"&amp;TEXT(MOD(K128,60),"00")</x:f>
        <x:v>07:12</x:v>
      </x:c>
      <x:c r="H128" t="str">
        <x:f>TEXT(INT(L128/60),"00")&amp;":"&amp;TEXT(MOD(L128,60),"00")</x:f>
        <x:v>07:20</x:v>
      </x:c>
      <x:c r="I128" t="str">
        <x:f>IF(N128&gt;0,"+"&amp;TEXT(INT(N128/60),"00")&amp;":"&amp;TEXT(MOD(N128,60),"00"),"00:00")</x:f>
        <x:v>00:00</x:v>
      </x:c>
      <x:c r="J128" t="str">
        <x:f>IF(O128&gt;0,"-"&amp;TEXT(INT(O128/60),"00")&amp;":"&amp;TEXT(MOD(O128,60),"00"),"00:00")</x:f>
        <x:v>-00:08</x:v>
      </x:c>
      <x:c r="K128" t="n">
        <x:f>ROUND((F128-C128-IF(OR(D128="",E128=""),0,E128-D128))*1440,0)</x:f>
        <x:v>432</x:v>
      </x:c>
      <x:c r="L128" t="n">
        <x:v>440</x:v>
      </x:c>
      <x:c r="M128" t="n">
        <x:f>K128-L128</x:f>
        <x:v>-8</x:v>
      </x:c>
      <x:c r="N128" t="n">
        <x:f>MAX(0,M128)</x:f>
        <x:v>0</x:v>
      </x:c>
      <x:c r="O128" t="n">
        <x:f>MAX(0,-M128)</x:f>
        <x:v>8</x:v>
      </x:c>
      <x:c r="P128" t="str">
        <x:v>Ponto registrado — complemento ilustrativo</x:v>
      </x:c>
      <x:c r="Q128" t="str">
        <x:v>Saída da CONFERÊNCIA DE CAIXA; entrada/intervalo simulados</x:v>
      </x:c>
      <x:c r="R128" t="str">
        <x:v>2025-07</x:v>
      </x:c>
    </x:row>
    <x:row r="129" ht="21" customHeight="1">
      <x:c r="A129" s="83" t="n">
        <x:v>45863</x:v>
      </x:c>
      <x:c r="B129" t="str">
        <x:v>sexta-feira</x:v>
      </x:c>
      <x:c r="C129" s="85" t="n">
        <x:v>0.54375</x:v>
      </x:c>
      <x:c r="D129" s="85" t="n">
        <x:v>0.66875</x:v>
      </x:c>
      <x:c r="E129" s="85" t="n">
        <x:v>0.7097222222222223</x:v>
      </x:c>
      <x:c r="F129" s="85" t="n">
        <x:v>0.8875</x:v>
      </x:c>
      <x:c r="G129" t="str">
        <x:f>TEXT(INT(K129/60),"00")&amp;":"&amp;TEXT(MOD(K129,60),"00")</x:f>
        <x:v>07:16</x:v>
      </x:c>
      <x:c r="H129" t="str">
        <x:f>TEXT(INT(L129/60),"00")&amp;":"&amp;TEXT(MOD(L129,60),"00")</x:f>
        <x:v>07:20</x:v>
      </x:c>
      <x:c r="I129" t="str">
        <x:f>IF(N129&gt;0,"+"&amp;TEXT(INT(N129/60),"00")&amp;":"&amp;TEXT(MOD(N129,60),"00"),"00:00")</x:f>
        <x:v>00:00</x:v>
      </x:c>
      <x:c r="J129" t="str">
        <x:f>IF(O129&gt;0,"-"&amp;TEXT(INT(O129/60),"00")&amp;":"&amp;TEXT(MOD(O129,60),"00"),"00:00")</x:f>
        <x:v>-00:04</x:v>
      </x:c>
      <x:c r="K129" t="n">
        <x:f>ROUND((F129-C129-IF(OR(D129="",E129=""),0,E129-D129))*1440,0)</x:f>
        <x:v>436</x:v>
      </x:c>
      <x:c r="L129" t="n">
        <x:v>440</x:v>
      </x:c>
      <x:c r="M129" t="n">
        <x:f>K129-L129</x:f>
        <x:v>-4</x:v>
      </x:c>
      <x:c r="N129" t="n">
        <x:f>MAX(0,M129)</x:f>
        <x:v>0</x:v>
      </x:c>
      <x:c r="O129" t="n">
        <x:f>MAX(0,-M129)</x:f>
        <x:v>4</x:v>
      </x:c>
      <x:c r="P129" t="str">
        <x:v>Ponto registrado — complemento ilustrativo</x:v>
      </x:c>
      <x:c r="Q129" t="str">
        <x:v>Saída da CONFERÊNCIA DE CAIXA; entrada/intervalo simulados</x:v>
      </x:c>
      <x:c r="R129" t="str">
        <x:v>2025-07</x:v>
      </x:c>
    </x:row>
    <x:row r="130" ht="21" customHeight="1">
      <x:c r="A130" s="83" t="n">
        <x:v>45864</x:v>
      </x:c>
      <x:c r="B130" t="str">
        <x:v>sábado</x:v>
      </x:c>
      <x:c r="C130" s="85" t="n">
        <x:v>0.5388888888888889</x:v>
      </x:c>
      <x:c r="D130" s="85"/>
      <x:c r="E130" s="85"/>
      <x:c r="F130" s="85" t="n">
        <x:v>0.7034722222222223</x:v>
      </x:c>
      <x:c r="G130" t="str">
        <x:f>TEXT(INT(K130/60),"00")&amp;":"&amp;TEXT(MOD(K130,60),"00")</x:f>
        <x:v>03:57</x:v>
      </x:c>
      <x:c r="H130" t="str">
        <x:f>TEXT(INT(L130/60),"00")&amp;":"&amp;TEXT(MOD(L130,60),"00")</x:f>
        <x:v>04:00</x:v>
      </x:c>
      <x:c r="I130" t="str">
        <x:f>IF(N130&gt;0,"+"&amp;TEXT(INT(N130/60),"00")&amp;":"&amp;TEXT(MOD(N130,60),"00"),"00:00")</x:f>
        <x:v>00:00</x:v>
      </x:c>
      <x:c r="J130" t="str">
        <x:f>IF(O130&gt;0,"-"&amp;TEXT(INT(O130/60),"00")&amp;":"&amp;TEXT(MOD(O130,60),"00"),"00:00")</x:f>
        <x:v>-00:03</x:v>
      </x:c>
      <x:c r="K130" t="n">
        <x:f>ROUND((F130-C130-IF(OR(D130="",E130=""),0,E130-D130))*1440,0)</x:f>
        <x:v>237</x:v>
      </x:c>
      <x:c r="L130" t="n">
        <x:v>240</x:v>
      </x:c>
      <x:c r="M130" t="n">
        <x:f>K130-L130</x:f>
        <x:v>-3</x:v>
      </x:c>
      <x:c r="N130" t="n">
        <x:f>MAX(0,M130)</x:f>
        <x:v>0</x:v>
      </x:c>
      <x:c r="O130" t="n">
        <x:f>MAX(0,-M130)</x:f>
        <x:v>3</x:v>
      </x:c>
      <x:c r="P130" t="str">
        <x:v>Ponto registrado — complemento ilustrativo</x:v>
      </x:c>
      <x:c r="Q130" t="str">
        <x:v>Saída da CONFERÊNCIA DE CAIXA; entrada/intervalo simulados</x:v>
      </x:c>
      <x:c r="R130" t="str">
        <x:v>2025-07</x:v>
      </x:c>
    </x:row>
    <x:row r="131" ht="21" customHeight="1">
      <x:c r="A131" s="83" t="n">
        <x:v>45866</x:v>
      </x:c>
      <x:c r="B131" t="str">
        <x:v>segunda-feira</x:v>
      </x:c>
      <x:c r="C131" s="85" t="n">
        <x:v>0.5465277777777777</x:v>
      </x:c>
      <x:c r="D131" s="85" t="n">
        <x:v>0.6715277777777777</x:v>
      </x:c>
      <x:c r="E131" s="85" t="n">
        <x:v>0.7145833333333333</x:v>
      </x:c>
      <x:c r="F131" s="85" t="n">
        <x:v>0.8881944444444444</x:v>
      </x:c>
      <x:c r="G131" t="str">
        <x:f>TEXT(INT(K131/60),"00")&amp;":"&amp;TEXT(MOD(K131,60),"00")</x:f>
        <x:v>07:10</x:v>
      </x:c>
      <x:c r="H131" t="str">
        <x:f>TEXT(INT(L131/60),"00")&amp;":"&amp;TEXT(MOD(L131,60),"00")</x:f>
        <x:v>07:20</x:v>
      </x:c>
      <x:c r="I131" t="str">
        <x:f>IF(N131&gt;0,"+"&amp;TEXT(INT(N131/60),"00")&amp;":"&amp;TEXT(MOD(N131,60),"00"),"00:00")</x:f>
        <x:v>00:00</x:v>
      </x:c>
      <x:c r="J131" t="str">
        <x:f>IF(O131&gt;0,"-"&amp;TEXT(INT(O131/60),"00")&amp;":"&amp;TEXT(MOD(O131,60),"00"),"00:00")</x:f>
        <x:v>-00:10</x:v>
      </x:c>
      <x:c r="K131" t="n">
        <x:f>ROUND((F131-C131-IF(OR(D131="",E131=""),0,E131-D131))*1440,0)</x:f>
        <x:v>430</x:v>
      </x:c>
      <x:c r="L131" t="n">
        <x:v>440</x:v>
      </x:c>
      <x:c r="M131" t="n">
        <x:f>K131-L131</x:f>
        <x:v>-10</x:v>
      </x:c>
      <x:c r="N131" t="n">
        <x:f>MAX(0,M131)</x:f>
        <x:v>0</x:v>
      </x:c>
      <x:c r="O131" t="n">
        <x:f>MAX(0,-M131)</x:f>
        <x:v>10</x:v>
      </x:c>
      <x:c r="P131" t="str">
        <x:v>Ponto registrado — complemento ilustrativo</x:v>
      </x:c>
      <x:c r="Q131" t="str">
        <x:v>Saída da CONFERÊNCIA DE CAIXA; entrada/intervalo simulados</x:v>
      </x:c>
      <x:c r="R131" t="str">
        <x:v>2025-07</x:v>
      </x:c>
    </x:row>
    <x:row r="132" ht="21" customHeight="1">
      <x:c r="A132" s="83" t="n">
        <x:v>45867</x:v>
      </x:c>
      <x:c r="B132" t="str">
        <x:v>terça-feira</x:v>
      </x:c>
      <x:c r="C132" s="85" t="n">
        <x:v>0.5451388888888888</x:v>
      </x:c>
      <x:c r="D132" s="85" t="n">
        <x:v>0.6708333333333333</x:v>
      </x:c>
      <x:c r="E132" s="85" t="n">
        <x:v>0.7111111111111111</x:v>
      </x:c>
      <x:c r="F132" s="85" t="n">
        <x:v>0.8881944444444444</x:v>
      </x:c>
      <x:c r="G132" t="str">
        <x:f>TEXT(INT(K132/60),"00")&amp;":"&amp;TEXT(MOD(K132,60),"00")</x:f>
        <x:v>07:16</x:v>
      </x:c>
      <x:c r="H132" t="str">
        <x:f>TEXT(INT(L132/60),"00")&amp;":"&amp;TEXT(MOD(L132,60),"00")</x:f>
        <x:v>07:20</x:v>
      </x:c>
      <x:c r="I132" t="str">
        <x:f>IF(N132&gt;0,"+"&amp;TEXT(INT(N132/60),"00")&amp;":"&amp;TEXT(MOD(N132,60),"00"),"00:00")</x:f>
        <x:v>00:00</x:v>
      </x:c>
      <x:c r="J132" t="str">
        <x:f>IF(O132&gt;0,"-"&amp;TEXT(INT(O132/60),"00")&amp;":"&amp;TEXT(MOD(O132,60),"00"),"00:00")</x:f>
        <x:v>-00:04</x:v>
      </x:c>
      <x:c r="K132" t="n">
        <x:f>ROUND((F132-C132-IF(OR(D132="",E132=""),0,E132-D132))*1440,0)</x:f>
        <x:v>436</x:v>
      </x:c>
      <x:c r="L132" t="n">
        <x:v>440</x:v>
      </x:c>
      <x:c r="M132" t="n">
        <x:f>K132-L132</x:f>
        <x:v>-4</x:v>
      </x:c>
      <x:c r="N132" t="n">
        <x:f>MAX(0,M132)</x:f>
        <x:v>0</x:v>
      </x:c>
      <x:c r="O132" t="n">
        <x:f>MAX(0,-M132)</x:f>
        <x:v>4</x:v>
      </x:c>
      <x:c r="P132" t="str">
        <x:v>Ponto registrado — complemento ilustrativo</x:v>
      </x:c>
      <x:c r="Q132" t="str">
        <x:v>Saída da CONFERÊNCIA DE CAIXA; entrada/intervalo simulados</x:v>
      </x:c>
      <x:c r="R132" t="str">
        <x:v>2025-07</x:v>
      </x:c>
    </x:row>
    <x:row r="133" ht="21" customHeight="1">
      <x:c r="A133" s="83" t="n">
        <x:v>45868</x:v>
      </x:c>
      <x:c r="B133" t="str">
        <x:v>quarta-feira</x:v>
      </x:c>
      <x:c r="C133" s="85" t="n">
        <x:v>0.5381944444444444</x:v>
      </x:c>
      <x:c r="D133" s="85" t="n">
        <x:v>0.6701388888888888</x:v>
      </x:c>
      <x:c r="E133" s="85" t="n">
        <x:v>0.7145833333333333</x:v>
      </x:c>
      <x:c r="F133" s="85" t="n">
        <x:v>0.8895833333333333</x:v>
      </x:c>
      <x:c r="G133" t="str">
        <x:f>TEXT(INT(K133/60),"00")&amp;":"&amp;TEXT(MOD(K133,60),"00")</x:f>
        <x:v>07:22</x:v>
      </x:c>
      <x:c r="H133" t="str">
        <x:f>TEXT(INT(L133/60),"00")&amp;":"&amp;TEXT(MOD(L133,60),"00")</x:f>
        <x:v>07:20</x:v>
      </x:c>
      <x:c r="I133" t="str">
        <x:f>IF(N133&gt;0,"+"&amp;TEXT(INT(N133/60),"00")&amp;":"&amp;TEXT(MOD(N133,60),"00"),"00:00")</x:f>
        <x:v>+00:02</x:v>
      </x:c>
      <x:c r="J133" t="str">
        <x:f>IF(O133&gt;0,"-"&amp;TEXT(INT(O133/60),"00")&amp;":"&amp;TEXT(MOD(O133,60),"00"),"00:00")</x:f>
        <x:v>00:00</x:v>
      </x:c>
      <x:c r="K133" t="n">
        <x:f>ROUND((F133-C133-IF(OR(D133="",E133=""),0,E133-D133))*1440,0)</x:f>
        <x:v>442</x:v>
      </x:c>
      <x:c r="L133" t="n">
        <x:v>440</x:v>
      </x:c>
      <x:c r="M133" t="n">
        <x:f>K133-L133</x:f>
        <x:v>2</x:v>
      </x:c>
      <x:c r="N133" t="n">
        <x:f>MAX(0,M133)</x:f>
        <x:v>2</x:v>
      </x:c>
      <x:c r="O133" t="n">
        <x:f>MAX(0,-M133)</x:f>
        <x:v>0</x:v>
      </x:c>
      <x:c r="P133" t="str">
        <x:v>Ponto registrado — jornada revisada</x:v>
      </x:c>
      <x:c r="Q133" t="str">
        <x:v>Horários da planilha de jornadas revisada</x:v>
      </x:c>
      <x:c r="R133" t="str">
        <x:v>2025-07</x:v>
      </x:c>
    </x:row>
    <x:row r="134" ht="21" customHeight="1">
      <x:c r="A134" s="83" t="n">
        <x:v>45869</x:v>
      </x:c>
      <x:c r="B134" t="str">
        <x:v>quinta-feira</x:v>
      </x:c>
      <x:c r="C134" s="85" t="n">
        <x:v>0.5423611111111111</x:v>
      </x:c>
      <x:c r="D134" s="85" t="n">
        <x:v>0.6722222222222223</x:v>
      </x:c>
      <x:c r="E134" s="85" t="n">
        <x:v>0.7166666666666667</x:v>
      </x:c>
      <x:c r="F134" s="85" t="n">
        <x:v>0.8888888888888888</x:v>
      </x:c>
      <x:c r="G134" t="str">
        <x:f>TEXT(INT(K134/60),"00")&amp;":"&amp;TEXT(MOD(K134,60),"00")</x:f>
        <x:v>07:15</x:v>
      </x:c>
      <x:c r="H134" t="str">
        <x:f>TEXT(INT(L134/60),"00")&amp;":"&amp;TEXT(MOD(L134,60),"00")</x:f>
        <x:v>07:20</x:v>
      </x:c>
      <x:c r="I134" t="str">
        <x:f>IF(N134&gt;0,"+"&amp;TEXT(INT(N134/60),"00")&amp;":"&amp;TEXT(MOD(N134,60),"00"),"00:00")</x:f>
        <x:v>00:00</x:v>
      </x:c>
      <x:c r="J134" t="str">
        <x:f>IF(O134&gt;0,"-"&amp;TEXT(INT(O134/60),"00")&amp;":"&amp;TEXT(MOD(O134,60),"00"),"00:00")</x:f>
        <x:v>-00:05</x:v>
      </x:c>
      <x:c r="K134" t="n">
        <x:f>ROUND((F134-C134-IF(OR(D134="",E134=""),0,E134-D134))*1440,0)</x:f>
        <x:v>435</x:v>
      </x:c>
      <x:c r="L134" t="n">
        <x:v>440</x:v>
      </x:c>
      <x:c r="M134" t="n">
        <x:f>K134-L134</x:f>
        <x:v>-5</x:v>
      </x:c>
      <x:c r="N134" t="n">
        <x:f>MAX(0,M134)</x:f>
        <x:v>0</x:v>
      </x:c>
      <x:c r="O134" t="n">
        <x:f>MAX(0,-M134)</x:f>
        <x:v>5</x:v>
      </x:c>
      <x:c r="P134" t="str">
        <x:v>Ponto registrado — complemento ilustrativo</x:v>
      </x:c>
      <x:c r="Q134" t="str">
        <x:v>Saída da CONFERÊNCIA DE CAIXA; entrada/intervalo simulados</x:v>
      </x:c>
      <x:c r="R134" t="str">
        <x:v>2025-07</x:v>
      </x:c>
    </x:row>
    <x:row r="135" ht="21" customHeight="1">
      <x:c r="A135" s="83" t="n">
        <x:v>45870</x:v>
      </x:c>
      <x:c r="B135" t="str">
        <x:v>sexta-feira</x:v>
      </x:c>
      <x:c r="C135" s="85" t="n">
        <x:v>0.5430555555555555</x:v>
      </x:c>
      <x:c r="D135" s="85" t="n">
        <x:v>0.6784722222222223</x:v>
      </x:c>
      <x:c r="E135" s="85" t="n">
        <x:v>0.7222222222222222</x:v>
      </x:c>
      <x:c r="F135" s="85" t="n">
        <x:v>0.8881944444444444</x:v>
      </x:c>
      <x:c r="G135" t="str">
        <x:f>TEXT(INT(K135/60),"00")&amp;":"&amp;TEXT(MOD(K135,60),"00")</x:f>
        <x:v>07:14</x:v>
      </x:c>
      <x:c r="H135" t="str">
        <x:f>TEXT(INT(L135/60),"00")&amp;":"&amp;TEXT(MOD(L135,60),"00")</x:f>
        <x:v>07:20</x:v>
      </x:c>
      <x:c r="I135" t="str">
        <x:f>IF(N135&gt;0,"+"&amp;TEXT(INT(N135/60),"00")&amp;":"&amp;TEXT(MOD(N135,60),"00"),"00:00")</x:f>
        <x:v>00:00</x:v>
      </x:c>
      <x:c r="J135" t="str">
        <x:f>IF(O135&gt;0,"-"&amp;TEXT(INT(O135/60),"00")&amp;":"&amp;TEXT(MOD(O135,60),"00"),"00:00")</x:f>
        <x:v>-00:06</x:v>
      </x:c>
      <x:c r="K135" t="n">
        <x:f>ROUND((F135-C135-IF(OR(D135="",E135=""),0,E135-D135))*1440,0)</x:f>
        <x:v>434</x:v>
      </x:c>
      <x:c r="L135" t="n">
        <x:v>440</x:v>
      </x:c>
      <x:c r="M135" t="n">
        <x:f>K135-L135</x:f>
        <x:v>-6</x:v>
      </x:c>
      <x:c r="N135" t="n">
        <x:f>MAX(0,M135)</x:f>
        <x:v>0</x:v>
      </x:c>
      <x:c r="O135" t="n">
        <x:f>MAX(0,-M135)</x:f>
        <x:v>6</x:v>
      </x:c>
      <x:c r="P135" t="str">
        <x:v>Ponto registrado — complemento ilustrativo</x:v>
      </x:c>
      <x:c r="Q135" t="str">
        <x:v>Saída da CONFERÊNCIA DE CAIXA; entrada/intervalo simulados</x:v>
      </x:c>
      <x:c r="R135" t="str">
        <x:v>2025-08</x:v>
      </x:c>
    </x:row>
    <x:row r="136" ht="21" customHeight="1">
      <x:c r="A136" s="83" t="n">
        <x:v>45871</x:v>
      </x:c>
      <x:c r="B136" t="str">
        <x:v>sábado</x:v>
      </x:c>
      <x:c r="C136" s="85" t="n">
        <x:v>0.5458333333333333</x:v>
      </x:c>
      <x:c r="D136" s="85"/>
      <x:c r="E136" s="85"/>
      <x:c r="F136" s="85" t="n">
        <x:v>0.7020833333333333</x:v>
      </x:c>
      <x:c r="G136" t="str">
        <x:f>TEXT(INT(K136/60),"00")&amp;":"&amp;TEXT(MOD(K136,60),"00")</x:f>
        <x:v>03:45</x:v>
      </x:c>
      <x:c r="H136" t="str">
        <x:f>TEXT(INT(L136/60),"00")&amp;":"&amp;TEXT(MOD(L136,60),"00")</x:f>
        <x:v>04:00</x:v>
      </x:c>
      <x:c r="I136" t="str">
        <x:f>IF(N136&gt;0,"+"&amp;TEXT(INT(N136/60),"00")&amp;":"&amp;TEXT(MOD(N136,60),"00"),"00:00")</x:f>
        <x:v>00:00</x:v>
      </x:c>
      <x:c r="J136" t="str">
        <x:f>IF(O136&gt;0,"-"&amp;TEXT(INT(O136/60),"00")&amp;":"&amp;TEXT(MOD(O136,60),"00"),"00:00")</x:f>
        <x:v>-00:15</x:v>
      </x:c>
      <x:c r="K136" t="n">
        <x:f>ROUND((F136-C136-IF(OR(D136="",E136=""),0,E136-D136))*1440,0)</x:f>
        <x:v>225</x:v>
      </x:c>
      <x:c r="L136" t="n">
        <x:v>240</x:v>
      </x:c>
      <x:c r="M136" t="n">
        <x:f>K136-L136</x:f>
        <x:v>-15</x:v>
      </x:c>
      <x:c r="N136" t="n">
        <x:f>MAX(0,M136)</x:f>
        <x:v>0</x:v>
      </x:c>
      <x:c r="O136" t="n">
        <x:f>MAX(0,-M136)</x:f>
        <x:v>15</x:v>
      </x:c>
      <x:c r="P136" t="str">
        <x:v>Ponto registrado — complemento ilustrativo</x:v>
      </x:c>
      <x:c r="Q136" t="str">
        <x:v>Saída da CONFERÊNCIA DE CAIXA; entrada/intervalo simulados</x:v>
      </x:c>
      <x:c r="R136" t="str">
        <x:v>2025-08</x:v>
      </x:c>
    </x:row>
    <x:row r="137" ht="21" customHeight="1">
      <x:c r="A137" s="83" t="n">
        <x:v>45873</x:v>
      </x:c>
      <x:c r="B137" t="str">
        <x:v>segunda-feira</x:v>
      </x:c>
      <x:c r="C137" s="85" t="n">
        <x:v>0.5375</x:v>
      </x:c>
      <x:c r="D137" s="85" t="n">
        <x:v>0.6680555555555555</x:v>
      </x:c>
      <x:c r="E137" s="85" t="n">
        <x:v>0.7118055555555556</x:v>
      </x:c>
      <x:c r="F137" s="85" t="n">
        <x:v>0.8881944444444444</x:v>
      </x:c>
      <x:c r="G137" t="str">
        <x:f>TEXT(INT(K137/60),"00")&amp;":"&amp;TEXT(MOD(K137,60),"00")</x:f>
        <x:v>07:22</x:v>
      </x:c>
      <x:c r="H137" t="str">
        <x:f>TEXT(INT(L137/60),"00")&amp;":"&amp;TEXT(MOD(L137,60),"00")</x:f>
        <x:v>07:20</x:v>
      </x:c>
      <x:c r="I137" t="str">
        <x:f>IF(N137&gt;0,"+"&amp;TEXT(INT(N137/60),"00")&amp;":"&amp;TEXT(MOD(N137,60),"00"),"00:00")</x:f>
        <x:v>+00:02</x:v>
      </x:c>
      <x:c r="J137" t="str">
        <x:f>IF(O137&gt;0,"-"&amp;TEXT(INT(O137/60),"00")&amp;":"&amp;TEXT(MOD(O137,60),"00"),"00:00")</x:f>
        <x:v>00:00</x:v>
      </x:c>
      <x:c r="K137" t="n">
        <x:f>ROUND((F137-C137-IF(OR(D137="",E137=""),0,E137-D137))*1440,0)</x:f>
        <x:v>442</x:v>
      </x:c>
      <x:c r="L137" t="n">
        <x:v>440</x:v>
      </x:c>
      <x:c r="M137" t="n">
        <x:f>K137-L137</x:f>
        <x:v>2</x:v>
      </x:c>
      <x:c r="N137" t="n">
        <x:f>MAX(0,M137)</x:f>
        <x:v>2</x:v>
      </x:c>
      <x:c r="O137" t="n">
        <x:f>MAX(0,-M137)</x:f>
        <x:v>0</x:v>
      </x:c>
      <x:c r="P137" t="str">
        <x:v>Ponto registrado — complemento ilustrativo</x:v>
      </x:c>
      <x:c r="Q137" t="str">
        <x:v>Saída da CONFERÊNCIA DE CAIXA; entrada/intervalo simulados</x:v>
      </x:c>
      <x:c r="R137" t="str">
        <x:v>2025-08</x:v>
      </x:c>
    </x:row>
    <x:row r="138" ht="21" customHeight="1">
      <x:c r="A138" s="83" t="n">
        <x:v>45874</x:v>
      </x:c>
      <x:c r="B138" t="str">
        <x:v>terça-feira</x:v>
      </x:c>
      <x:c r="C138" s="85" t="n">
        <x:v>0.5458333333333333</x:v>
      </x:c>
      <x:c r="D138" s="85" t="n">
        <x:v>0.6715277777777777</x:v>
      </x:c>
      <x:c r="E138" s="85" t="n">
        <x:v>0.7138888888888889</x:v>
      </x:c>
      <x:c r="F138" s="85" t="n">
        <x:v>0.8881944444444444</x:v>
      </x:c>
      <x:c r="G138" t="str">
        <x:f>TEXT(INT(K138/60),"00")&amp;":"&amp;TEXT(MOD(K138,60),"00")</x:f>
        <x:v>07:12</x:v>
      </x:c>
      <x:c r="H138" t="str">
        <x:f>TEXT(INT(L138/60),"00")&amp;":"&amp;TEXT(MOD(L138,60),"00")</x:f>
        <x:v>07:20</x:v>
      </x:c>
      <x:c r="I138" t="str">
        <x:f>IF(N138&gt;0,"+"&amp;TEXT(INT(N138/60),"00")&amp;":"&amp;TEXT(MOD(N138,60),"00"),"00:00")</x:f>
        <x:v>00:00</x:v>
      </x:c>
      <x:c r="J138" t="str">
        <x:f>IF(O138&gt;0,"-"&amp;TEXT(INT(O138/60),"00")&amp;":"&amp;TEXT(MOD(O138,60),"00"),"00:00")</x:f>
        <x:v>-00:08</x:v>
      </x:c>
      <x:c r="K138" t="n">
        <x:f>ROUND((F138-C138-IF(OR(D138="",E138=""),0,E138-D138))*1440,0)</x:f>
        <x:v>432</x:v>
      </x:c>
      <x:c r="L138" t="n">
        <x:v>440</x:v>
      </x:c>
      <x:c r="M138" t="n">
        <x:f>K138-L138</x:f>
        <x:v>-8</x:v>
      </x:c>
      <x:c r="N138" t="n">
        <x:f>MAX(0,M138)</x:f>
        <x:v>0</x:v>
      </x:c>
      <x:c r="O138" t="n">
        <x:f>MAX(0,-M138)</x:f>
        <x:v>8</x:v>
      </x:c>
      <x:c r="P138" t="str">
        <x:v>Ponto registrado — complemento ilustrativo</x:v>
      </x:c>
      <x:c r="Q138" t="str">
        <x:v>Saída da CONFERÊNCIA DE CAIXA; entrada/intervalo simulados</x:v>
      </x:c>
      <x:c r="R138" t="str">
        <x:v>2025-08</x:v>
      </x:c>
    </x:row>
    <x:row r="139" ht="21" customHeight="1">
      <x:c r="A139" s="83" t="n">
        <x:v>45875</x:v>
      </x:c>
      <x:c r="B139" t="str">
        <x:v>quarta-feira</x:v>
      </x:c>
      <x:c r="C139" s="85" t="n">
        <x:v>0.5472222222222223</x:v>
      </x:c>
      <x:c r="D139" s="85" t="n">
        <x:v>0.6722222222222223</x:v>
      </x:c>
      <x:c r="E139" s="85" t="n">
        <x:v>0.7118055555555556</x:v>
      </x:c>
      <x:c r="F139" s="85" t="n">
        <x:v>0.8895833333333333</x:v>
      </x:c>
      <x:c r="G139" t="str">
        <x:f>TEXT(INT(K139/60),"00")&amp;":"&amp;TEXT(MOD(K139,60),"00")</x:f>
        <x:v>07:16</x:v>
      </x:c>
      <x:c r="H139" t="str">
        <x:f>TEXT(INT(L139/60),"00")&amp;":"&amp;TEXT(MOD(L139,60),"00")</x:f>
        <x:v>07:20</x:v>
      </x:c>
      <x:c r="I139" t="str">
        <x:f>IF(N139&gt;0,"+"&amp;TEXT(INT(N139/60),"00")&amp;":"&amp;TEXT(MOD(N139,60),"00"),"00:00")</x:f>
        <x:v>00:00</x:v>
      </x:c>
      <x:c r="J139" t="str">
        <x:f>IF(O139&gt;0,"-"&amp;TEXT(INT(O139/60),"00")&amp;":"&amp;TEXT(MOD(O139,60),"00"),"00:00")</x:f>
        <x:v>-00:04</x:v>
      </x:c>
      <x:c r="K139" t="n">
        <x:f>ROUND((F139-C139-IF(OR(D139="",E139=""),0,E139-D139))*1440,0)</x:f>
        <x:v>436</x:v>
      </x:c>
      <x:c r="L139" t="n">
        <x:v>440</x:v>
      </x:c>
      <x:c r="M139" t="n">
        <x:f>K139-L139</x:f>
        <x:v>-4</x:v>
      </x:c>
      <x:c r="N139" t="n">
        <x:f>MAX(0,M139)</x:f>
        <x:v>0</x:v>
      </x:c>
      <x:c r="O139" t="n">
        <x:f>MAX(0,-M139)</x:f>
        <x:v>4</x:v>
      </x:c>
      <x:c r="P139" t="str">
        <x:v>Ponto registrado — complemento ilustrativo</x:v>
      </x:c>
      <x:c r="Q139" t="str">
        <x:v>Saída da CONFERÊNCIA DE CAIXA; entrada/intervalo simulados</x:v>
      </x:c>
      <x:c r="R139" t="str">
        <x:v>2025-08</x:v>
      </x:c>
    </x:row>
    <x:row r="140" ht="21" customHeight="1">
      <x:c r="A140" s="83" t="n">
        <x:v>45876</x:v>
      </x:c>
      <x:c r="B140" t="str">
        <x:v>quinta-feira</x:v>
      </x:c>
      <x:c r="C140" s="85" t="n">
        <x:v>0.5423611111111111</x:v>
      </x:c>
      <x:c r="D140" s="85" t="n">
        <x:v>0.6673611111111111</x:v>
      </x:c>
      <x:c r="E140" s="85" t="n">
        <x:v>0.7083333333333334</x:v>
      </x:c>
      <x:c r="F140" s="85" t="n">
        <x:v>0.8784722222222222</x:v>
      </x:c>
      <x:c r="G140" t="str">
        <x:f>TEXT(INT(K140/60),"00")&amp;":"&amp;TEXT(MOD(K140,60),"00")</x:f>
        <x:v>07:05</x:v>
      </x:c>
      <x:c r="H140" t="str">
        <x:f>TEXT(INT(L140/60),"00")&amp;":"&amp;TEXT(MOD(L140,60),"00")</x:f>
        <x:v>07:20</x:v>
      </x:c>
      <x:c r="I140" t="str">
        <x:f>IF(N140&gt;0,"+"&amp;TEXT(INT(N140/60),"00")&amp;":"&amp;TEXT(MOD(N140,60),"00"),"00:00")</x:f>
        <x:v>00:00</x:v>
      </x:c>
      <x:c r="J140" t="str">
        <x:f>IF(O140&gt;0,"-"&amp;TEXT(INT(O140/60),"00")&amp;":"&amp;TEXT(MOD(O140,60),"00"),"00:00")</x:f>
        <x:v>-00:15</x:v>
      </x:c>
      <x:c r="K140" t="n">
        <x:f>ROUND((F140-C140-IF(OR(D140="",E140=""),0,E140-D140))*1440,0)</x:f>
        <x:v>425</x:v>
      </x:c>
      <x:c r="L140" t="n">
        <x:v>440</x:v>
      </x:c>
      <x:c r="M140" t="n">
        <x:f>K140-L140</x:f>
        <x:v>-15</x:v>
      </x:c>
      <x:c r="N140" t="n">
        <x:f>MAX(0,M140)</x:f>
        <x:v>0</x:v>
      </x:c>
      <x:c r="O140" t="n">
        <x:f>MAX(0,-M140)</x:f>
        <x:v>15</x:v>
      </x:c>
      <x:c r="P140" t="str">
        <x:v>Ponto registrado — complemento ilustrativo</x:v>
      </x:c>
      <x:c r="Q140" t="str">
        <x:v>Saída da CONFERÊNCIA DE CAIXA; entrada/intervalo simulados</x:v>
      </x:c>
      <x:c r="R140" t="str">
        <x:v>2025-08</x:v>
      </x:c>
    </x:row>
    <x:row r="141" ht="21" customHeight="1">
      <x:c r="A141" s="83" t="n">
        <x:v>45877</x:v>
      </x:c>
      <x:c r="B141" t="str">
        <x:v>sexta-feira</x:v>
      </x:c>
      <x:c r="C141" s="85" t="n">
        <x:v>0.5423611111111111</x:v>
      </x:c>
      <x:c r="D141" s="85" t="n">
        <x:v>0.6680555555555555</x:v>
      </x:c>
      <x:c r="E141" s="85" t="n">
        <x:v>0.7090277777777778</x:v>
      </x:c>
      <x:c r="F141" s="85" t="n">
        <x:v>0.8909722222222223</x:v>
      </x:c>
      <x:c r="G141" t="str">
        <x:f>TEXT(INT(K141/60),"00")&amp;":"&amp;TEXT(MOD(K141,60),"00")</x:f>
        <x:v>07:23</x:v>
      </x:c>
      <x:c r="H141" t="str">
        <x:f>TEXT(INT(L141/60),"00")&amp;":"&amp;TEXT(MOD(L141,60),"00")</x:f>
        <x:v>07:20</x:v>
      </x:c>
      <x:c r="I141" t="str">
        <x:f>IF(N141&gt;0,"+"&amp;TEXT(INT(N141/60),"00")&amp;":"&amp;TEXT(MOD(N141,60),"00"),"00:00")</x:f>
        <x:v>+00:03</x:v>
      </x:c>
      <x:c r="J141" t="str">
        <x:f>IF(O141&gt;0,"-"&amp;TEXT(INT(O141/60),"00")&amp;":"&amp;TEXT(MOD(O141,60),"00"),"00:00")</x:f>
        <x:v>00:00</x:v>
      </x:c>
      <x:c r="K141" t="n">
        <x:f>ROUND((F141-C141-IF(OR(D141="",E141=""),0,E141-D141))*1440,0)</x:f>
        <x:v>443</x:v>
      </x:c>
      <x:c r="L141" t="n">
        <x:v>440</x:v>
      </x:c>
      <x:c r="M141" t="n">
        <x:f>K141-L141</x:f>
        <x:v>3</x:v>
      </x:c>
      <x:c r="N141" t="n">
        <x:f>MAX(0,M141)</x:f>
        <x:v>3</x:v>
      </x:c>
      <x:c r="O141" t="n">
        <x:f>MAX(0,-M141)</x:f>
        <x:v>0</x:v>
      </x:c>
      <x:c r="P141" t="str">
        <x:v>Ponto registrado — complemento ilustrativo</x:v>
      </x:c>
      <x:c r="Q141" t="str">
        <x:v>Saída da CONFERÊNCIA DE CAIXA; entrada/intervalo simulados</x:v>
      </x:c>
      <x:c r="R141" t="str">
        <x:v>2025-08</x:v>
      </x:c>
    </x:row>
    <x:row r="142" ht="21" customHeight="1">
      <x:c r="A142" s="83" t="n">
        <x:v>45878</x:v>
      </x:c>
      <x:c r="B142" t="str">
        <x:v>sábado</x:v>
      </x:c>
      <x:c r="C142" s="85" t="n">
        <x:v>0.54375</x:v>
      </x:c>
      <x:c r="D142" s="85"/>
      <x:c r="E142" s="85"/>
      <x:c r="F142" s="85" t="n">
        <x:v>0.7083333333333334</x:v>
      </x:c>
      <x:c r="G142" t="str">
        <x:f>TEXT(INT(K142/60),"00")&amp;":"&amp;TEXT(MOD(K142,60),"00")</x:f>
        <x:v>03:57</x:v>
      </x:c>
      <x:c r="H142" t="str">
        <x:f>TEXT(INT(L142/60),"00")&amp;":"&amp;TEXT(MOD(L142,60),"00")</x:f>
        <x:v>04:00</x:v>
      </x:c>
      <x:c r="I142" t="str">
        <x:f>IF(N142&gt;0,"+"&amp;TEXT(INT(N142/60),"00")&amp;":"&amp;TEXT(MOD(N142,60),"00"),"00:00")</x:f>
        <x:v>00:00</x:v>
      </x:c>
      <x:c r="J142" t="str">
        <x:f>IF(O142&gt;0,"-"&amp;TEXT(INT(O142/60),"00")&amp;":"&amp;TEXT(MOD(O142,60),"00"),"00:00")</x:f>
        <x:v>-00:03</x:v>
      </x:c>
      <x:c r="K142" t="n">
        <x:f>ROUND((F142-C142-IF(OR(D142="",E142=""),0,E142-D142))*1440,0)</x:f>
        <x:v>237</x:v>
      </x:c>
      <x:c r="L142" t="n">
        <x:v>240</x:v>
      </x:c>
      <x:c r="M142" t="n">
        <x:f>K142-L142</x:f>
        <x:v>-3</x:v>
      </x:c>
      <x:c r="N142" t="n">
        <x:f>MAX(0,M142)</x:f>
        <x:v>0</x:v>
      </x:c>
      <x:c r="O142" t="n">
        <x:f>MAX(0,-M142)</x:f>
        <x:v>3</x:v>
      </x:c>
      <x:c r="P142" t="str">
        <x:v>Ponto registrado — complemento ilustrativo</x:v>
      </x:c>
      <x:c r="Q142" t="str">
        <x:v>Saída da CONFERÊNCIA DE CAIXA; entrada/intervalo simulados</x:v>
      </x:c>
      <x:c r="R142" t="str">
        <x:v>2025-08</x:v>
      </x:c>
    </x:row>
    <x:row r="143" ht="21" customHeight="1">
      <x:c r="A143" s="83" t="n">
        <x:v>45880</x:v>
      </x:c>
      <x:c r="B143" t="str">
        <x:v>segunda-feira</x:v>
      </x:c>
      <x:c r="C143" s="85" t="n">
        <x:v>0.5423611111111111</x:v>
      </x:c>
      <x:c r="D143" s="85" t="n">
        <x:v>0.6694444444444444</x:v>
      </x:c>
      <x:c r="E143" s="85" t="n">
        <x:v>0.7138888888888889</x:v>
      </x:c>
      <x:c r="F143" s="85" t="n">
        <x:v>0.8909722222222223</x:v>
      </x:c>
      <x:c r="G143" t="str">
        <x:f>TEXT(INT(K143/60),"00")&amp;":"&amp;TEXT(MOD(K143,60),"00")</x:f>
        <x:v>07:18</x:v>
      </x:c>
      <x:c r="H143" t="str">
        <x:f>TEXT(INT(L143/60),"00")&amp;":"&amp;TEXT(MOD(L143,60),"00")</x:f>
        <x:v>07:20</x:v>
      </x:c>
      <x:c r="I143" t="str">
        <x:f>IF(N143&gt;0,"+"&amp;TEXT(INT(N143/60),"00")&amp;":"&amp;TEXT(MOD(N143,60),"00"),"00:00")</x:f>
        <x:v>00:00</x:v>
      </x:c>
      <x:c r="J143" t="str">
        <x:f>IF(O143&gt;0,"-"&amp;TEXT(INT(O143/60),"00")&amp;":"&amp;TEXT(MOD(O143,60),"00"),"00:00")</x:f>
        <x:v>-00:02</x:v>
      </x:c>
      <x:c r="K143" t="n">
        <x:f>ROUND((F143-C143-IF(OR(D143="",E143=""),0,E143-D143))*1440,0)</x:f>
        <x:v>438</x:v>
      </x:c>
      <x:c r="L143" t="n">
        <x:v>440</x:v>
      </x:c>
      <x:c r="M143" t="n">
        <x:f>K143-L143</x:f>
        <x:v>-2</x:v>
      </x:c>
      <x:c r="N143" t="n">
        <x:f>MAX(0,M143)</x:f>
        <x:v>0</x:v>
      </x:c>
      <x:c r="O143" t="n">
        <x:f>MAX(0,-M143)</x:f>
        <x:v>2</x:v>
      </x:c>
      <x:c r="P143" t="str">
        <x:v>Ponto registrado — complemento ilustrativo</x:v>
      </x:c>
      <x:c r="Q143" t="str">
        <x:v>Saída da CONFERÊNCIA DE CAIXA; entrada/intervalo simulados</x:v>
      </x:c>
      <x:c r="R143" t="str">
        <x:v>2025-08</x:v>
      </x:c>
    </x:row>
    <x:row r="144" ht="21" customHeight="1">
      <x:c r="A144" s="83" t="n">
        <x:v>45881</x:v>
      </x:c>
      <x:c r="B144" t="str">
        <x:v>terça-feira</x:v>
      </x:c>
      <x:c r="C144" s="85" t="n">
        <x:v>0.5402777777777777</x:v>
      </x:c>
      <x:c r="D144" s="85" t="n">
        <x:v>0.6673611111111111</x:v>
      </x:c>
      <x:c r="E144" s="85" t="n">
        <x:v>0.7118055555555556</x:v>
      </x:c>
      <x:c r="F144" s="85" t="n">
        <x:v>0.8875</x:v>
      </x:c>
      <x:c r="G144" t="str">
        <x:f>TEXT(INT(K144/60),"00")&amp;":"&amp;TEXT(MOD(K144,60),"00")</x:f>
        <x:v>07:16</x:v>
      </x:c>
      <x:c r="H144" t="str">
        <x:f>TEXT(INT(L144/60),"00")&amp;":"&amp;TEXT(MOD(L144,60),"00")</x:f>
        <x:v>07:20</x:v>
      </x:c>
      <x:c r="I144" t="str">
        <x:f>IF(N144&gt;0,"+"&amp;TEXT(INT(N144/60),"00")&amp;":"&amp;TEXT(MOD(N144,60),"00"),"00:00")</x:f>
        <x:v>00:00</x:v>
      </x:c>
      <x:c r="J144" t="str">
        <x:f>IF(O144&gt;0,"-"&amp;TEXT(INT(O144/60),"00")&amp;":"&amp;TEXT(MOD(O144,60),"00"),"00:00")</x:f>
        <x:v>-00:04</x:v>
      </x:c>
      <x:c r="K144" t="n">
        <x:f>ROUND((F144-C144-IF(OR(D144="",E144=""),0,E144-D144))*1440,0)</x:f>
        <x:v>436</x:v>
      </x:c>
      <x:c r="L144" t="n">
        <x:v>440</x:v>
      </x:c>
      <x:c r="M144" t="n">
        <x:f>K144-L144</x:f>
        <x:v>-4</x:v>
      </x:c>
      <x:c r="N144" t="n">
        <x:f>MAX(0,M144)</x:f>
        <x:v>0</x:v>
      </x:c>
      <x:c r="O144" t="n">
        <x:f>MAX(0,-M144)</x:f>
        <x:v>4</x:v>
      </x:c>
      <x:c r="P144" t="str">
        <x:v>Ponto registrado — complemento ilustrativo</x:v>
      </x:c>
      <x:c r="Q144" t="str">
        <x:v>Saída da CONFERÊNCIA DE CAIXA; entrada/intervalo simulados</x:v>
      </x:c>
      <x:c r="R144" t="str">
        <x:v>2025-08</x:v>
      </x:c>
    </x:row>
    <x:row r="145" ht="21" customHeight="1">
      <x:c r="A145" s="83" t="n">
        <x:v>45882</x:v>
      </x:c>
      <x:c r="B145" t="str">
        <x:v>quarta-feira</x:v>
      </x:c>
      <x:c r="C145" s="85" t="n">
        <x:v>0.5430555555555555</x:v>
      </x:c>
      <x:c r="D145" s="85" t="n">
        <x:v>0.6763888888888889</x:v>
      </x:c>
      <x:c r="E145" s="85" t="n">
        <x:v>0.7173611111111111</x:v>
      </x:c>
      <x:c r="F145" s="85" t="n">
        <x:v>0.8888888888888888</x:v>
      </x:c>
      <x:c r="G145" t="str">
        <x:f>TEXT(INT(K145/60),"00")&amp;":"&amp;TEXT(MOD(K145,60),"00")</x:f>
        <x:v>07:19</x:v>
      </x:c>
      <x:c r="H145" t="str">
        <x:f>TEXT(INT(L145/60),"00")&amp;":"&amp;TEXT(MOD(L145,60),"00")</x:f>
        <x:v>07:20</x:v>
      </x:c>
      <x:c r="I145" t="str">
        <x:f>IF(N145&gt;0,"+"&amp;TEXT(INT(N145/60),"00")&amp;":"&amp;TEXT(MOD(N145,60),"00"),"00:00")</x:f>
        <x:v>00:00</x:v>
      </x:c>
      <x:c r="J145" t="str">
        <x:f>IF(O145&gt;0,"-"&amp;TEXT(INT(O145/60),"00")&amp;":"&amp;TEXT(MOD(O145,60),"00"),"00:00")</x:f>
        <x:v>-00:01</x:v>
      </x:c>
      <x:c r="K145" t="n">
        <x:f>ROUND((F145-C145-IF(OR(D145="",E145=""),0,E145-D145))*1440,0)</x:f>
        <x:v>439</x:v>
      </x:c>
      <x:c r="L145" t="n">
        <x:v>440</x:v>
      </x:c>
      <x:c r="M145" t="n">
        <x:f>K145-L145</x:f>
        <x:v>-1</x:v>
      </x:c>
      <x:c r="N145" t="n">
        <x:f>MAX(0,M145)</x:f>
        <x:v>0</x:v>
      </x:c>
      <x:c r="O145" t="n">
        <x:f>MAX(0,-M145)</x:f>
        <x:v>1</x:v>
      </x:c>
      <x:c r="P145" t="str">
        <x:v>Ponto registrado — complemento ilustrativo</x:v>
      </x:c>
      <x:c r="Q145" t="str">
        <x:v>Saída da CONFERÊNCIA DE CAIXA; entrada/intervalo simulados</x:v>
      </x:c>
      <x:c r="R145" t="str">
        <x:v>2025-08</x:v>
      </x:c>
    </x:row>
    <x:row r="146" ht="21" customHeight="1">
      <x:c r="A146" s="83" t="n">
        <x:v>45883</x:v>
      </x:c>
      <x:c r="B146" t="str">
        <x:v>quinta-feira</x:v>
      </x:c>
      <x:c r="C146" s="85" t="n">
        <x:v>0.5402777777777777</x:v>
      </x:c>
      <x:c r="D146" s="85" t="n">
        <x:v>0.6673611111111111</x:v>
      </x:c>
      <x:c r="E146" s="85" t="n">
        <x:v>0.7083333333333334</x:v>
      </x:c>
      <x:c r="F146" s="85" t="n">
        <x:v>0.8895833333333333</x:v>
      </x:c>
      <x:c r="G146" t="str">
        <x:f>TEXT(INT(K146/60),"00")&amp;":"&amp;TEXT(MOD(K146,60),"00")</x:f>
        <x:v>07:24</x:v>
      </x:c>
      <x:c r="H146" t="str">
        <x:f>TEXT(INT(L146/60),"00")&amp;":"&amp;TEXT(MOD(L146,60),"00")</x:f>
        <x:v>07:20</x:v>
      </x:c>
      <x:c r="I146" t="str">
        <x:f>IF(N146&gt;0,"+"&amp;TEXT(INT(N146/60),"00")&amp;":"&amp;TEXT(MOD(N146,60),"00"),"00:00")</x:f>
        <x:v>+00:04</x:v>
      </x:c>
      <x:c r="J146" t="str">
        <x:f>IF(O146&gt;0,"-"&amp;TEXT(INT(O146/60),"00")&amp;":"&amp;TEXT(MOD(O146,60),"00"),"00:00")</x:f>
        <x:v>00:00</x:v>
      </x:c>
      <x:c r="K146" t="n">
        <x:f>ROUND((F146-C146-IF(OR(D146="",E146=""),0,E146-D146))*1440,0)</x:f>
        <x:v>444</x:v>
      </x:c>
      <x:c r="L146" t="n">
        <x:v>440</x:v>
      </x:c>
      <x:c r="M146" t="n">
        <x:f>K146-L146</x:f>
        <x:v>4</x:v>
      </x:c>
      <x:c r="N146" t="n">
        <x:f>MAX(0,M146)</x:f>
        <x:v>4</x:v>
      </x:c>
      <x:c r="O146" t="n">
        <x:f>MAX(0,-M146)</x:f>
        <x:v>0</x:v>
      </x:c>
      <x:c r="P146" t="str">
        <x:v>Ponto registrado — complemento ilustrativo</x:v>
      </x:c>
      <x:c r="Q146" t="str">
        <x:v>Saída da CONFERÊNCIA DE CAIXA; entrada/intervalo simulados</x:v>
      </x:c>
      <x:c r="R146" t="str">
        <x:v>2025-08</x:v>
      </x:c>
    </x:row>
    <x:row r="147" ht="21" customHeight="1">
      <x:c r="A147" s="83" t="n">
        <x:v>45884</x:v>
      </x:c>
      <x:c r="B147" t="str">
        <x:v>sexta-feira</x:v>
      </x:c>
      <x:c r="C147" s="85" t="n">
        <x:v>0.5451388888888888</x:v>
      </x:c>
      <x:c r="D147" s="85" t="n">
        <x:v>0.66875</x:v>
      </x:c>
      <x:c r="E147" s="85" t="n">
        <x:v>0.7083333333333334</x:v>
      </x:c>
      <x:c r="F147" s="85" t="n">
        <x:v>0.8881944444444444</x:v>
      </x:c>
      <x:c r="G147" t="str">
        <x:f>TEXT(INT(K147/60),"00")&amp;":"&amp;TEXT(MOD(K147,60),"00")</x:f>
        <x:v>07:17</x:v>
      </x:c>
      <x:c r="H147" t="str">
        <x:f>TEXT(INT(L147/60),"00")&amp;":"&amp;TEXT(MOD(L147,60),"00")</x:f>
        <x:v>07:20</x:v>
      </x:c>
      <x:c r="I147" t="str">
        <x:f>IF(N147&gt;0,"+"&amp;TEXT(INT(N147/60),"00")&amp;":"&amp;TEXT(MOD(N147,60),"00"),"00:00")</x:f>
        <x:v>00:00</x:v>
      </x:c>
      <x:c r="J147" t="str">
        <x:f>IF(O147&gt;0,"-"&amp;TEXT(INT(O147/60),"00")&amp;":"&amp;TEXT(MOD(O147,60),"00"),"00:00")</x:f>
        <x:v>-00:03</x:v>
      </x:c>
      <x:c r="K147" t="n">
        <x:f>ROUND((F147-C147-IF(OR(D147="",E147=""),0,E147-D147))*1440,0)</x:f>
        <x:v>437</x:v>
      </x:c>
      <x:c r="L147" t="n">
        <x:v>440</x:v>
      </x:c>
      <x:c r="M147" t="n">
        <x:f>K147-L147</x:f>
        <x:v>-3</x:v>
      </x:c>
      <x:c r="N147" t="n">
        <x:f>MAX(0,M147)</x:f>
        <x:v>0</x:v>
      </x:c>
      <x:c r="O147" t="n">
        <x:f>MAX(0,-M147)</x:f>
        <x:v>3</x:v>
      </x:c>
      <x:c r="P147" t="str">
        <x:v>Ponto registrado — complemento ilustrativo</x:v>
      </x:c>
      <x:c r="Q147" t="str">
        <x:v>Saída da CONFERÊNCIA DE CAIXA; entrada/intervalo simulados</x:v>
      </x:c>
      <x:c r="R147" t="str">
        <x:v>2025-08</x:v>
      </x:c>
    </x:row>
    <x:row r="148" ht="21" customHeight="1">
      <x:c r="A148" s="83" t="n">
        <x:v>45885</x:v>
      </x:c>
      <x:c r="B148" t="str">
        <x:v>sábado</x:v>
      </x:c>
      <x:c r="C148" s="85" t="n">
        <x:v>0.5416666666666666</x:v>
      </x:c>
      <x:c r="D148" s="85"/>
      <x:c r="E148" s="85"/>
      <x:c r="F148" s="85" t="n">
        <x:v>0.7083333333333334</x:v>
      </x:c>
      <x:c r="G148" t="str">
        <x:f>TEXT(INT(K148/60),"00")&amp;":"&amp;TEXT(MOD(K148,60),"00")</x:f>
        <x:v>04:00</x:v>
      </x:c>
      <x:c r="H148" t="str">
        <x:f>TEXT(INT(L148/60),"00")&amp;":"&amp;TEXT(MOD(L148,60),"00")</x:f>
        <x:v>04:00</x:v>
      </x:c>
      <x:c r="I148" t="str">
        <x:f>IF(N148&gt;0,"+"&amp;TEXT(INT(N148/60),"00")&amp;":"&amp;TEXT(MOD(N148,60),"00"),"00:00")</x:f>
        <x:v>00:00</x:v>
      </x:c>
      <x:c r="J148" t="str">
        <x:f>IF(O148&gt;0,"-"&amp;TEXT(INT(O148/60),"00")&amp;":"&amp;TEXT(MOD(O148,60),"00"),"00:00")</x:f>
        <x:v>00:00</x:v>
      </x:c>
      <x:c r="K148" t="n">
        <x:f>ROUND((F148-C148-IF(OR(D148="",E148=""),0,E148-D148))*1440,0)</x:f>
        <x:v>240</x:v>
      </x:c>
      <x:c r="L148" t="n">
        <x:v>240</x:v>
      </x:c>
      <x:c r="M148" t="n">
        <x:f>K148-L148</x:f>
        <x:v>0</x:v>
      </x:c>
      <x:c r="N148" t="n">
        <x:f>MAX(0,M148)</x:f>
        <x:v>0</x:v>
      </x:c>
      <x:c r="O148" t="n">
        <x:f>MAX(0,-M148)</x:f>
        <x:v>0</x:v>
      </x:c>
      <x:c r="P148" t="str">
        <x:v>Ponto registrado — jornada revisada</x:v>
      </x:c>
      <x:c r="Q148" t="str">
        <x:v>Horários da planilha de jornadas revisada</x:v>
      </x:c>
      <x:c r="R148" t="str">
        <x:v>2025-08</x:v>
      </x:c>
    </x:row>
    <x:row r="149" ht="21" customHeight="1">
      <x:c r="A149" s="83" t="n">
        <x:v>45887</x:v>
      </x:c>
      <x:c r="B149" t="str">
        <x:v>segunda-feira</x:v>
      </x:c>
      <x:c r="C149" s="85" t="n">
        <x:v>0.5430555555555555</x:v>
      </x:c>
      <x:c r="D149" s="85" t="n">
        <x:v>0.6708333333333333</x:v>
      </x:c>
      <x:c r="E149" s="85" t="n">
        <x:v>0.7104166666666667</x:v>
      </x:c>
      <x:c r="F149" s="85" t="n">
        <x:v>0.8888888888888888</x:v>
      </x:c>
      <x:c r="G149" t="str">
        <x:f>TEXT(INT(K149/60),"00")&amp;":"&amp;TEXT(MOD(K149,60),"00")</x:f>
        <x:v>07:21</x:v>
      </x:c>
      <x:c r="H149" t="str">
        <x:f>TEXT(INT(L149/60),"00")&amp;":"&amp;TEXT(MOD(L149,60),"00")</x:f>
        <x:v>07:20</x:v>
      </x:c>
      <x:c r="I149" t="str">
        <x:f>IF(N149&gt;0,"+"&amp;TEXT(INT(N149/60),"00")&amp;":"&amp;TEXT(MOD(N149,60),"00"),"00:00")</x:f>
        <x:v>+00:01</x:v>
      </x:c>
      <x:c r="J149" t="str">
        <x:f>IF(O149&gt;0,"-"&amp;TEXT(INT(O149/60),"00")&amp;":"&amp;TEXT(MOD(O149,60),"00"),"00:00")</x:f>
        <x:v>00:00</x:v>
      </x:c>
      <x:c r="K149" t="n">
        <x:f>ROUND((F149-C149-IF(OR(D149="",E149=""),0,E149-D149))*1440,0)</x:f>
        <x:v>441</x:v>
      </x:c>
      <x:c r="L149" t="n">
        <x:v>440</x:v>
      </x:c>
      <x:c r="M149" t="n">
        <x:f>K149-L149</x:f>
        <x:v>1</x:v>
      </x:c>
      <x:c r="N149" t="n">
        <x:f>MAX(0,M149)</x:f>
        <x:v>1</x:v>
      </x:c>
      <x:c r="O149" t="n">
        <x:f>MAX(0,-M149)</x:f>
        <x:v>0</x:v>
      </x:c>
      <x:c r="P149" t="str">
        <x:v>Ponto registrado — complemento ilustrativo</x:v>
      </x:c>
      <x:c r="Q149" t="str">
        <x:v>Saída da CONFERÊNCIA DE CAIXA; entrada/intervalo simulados</x:v>
      </x:c>
      <x:c r="R149" t="str">
        <x:v>2025-08</x:v>
      </x:c>
    </x:row>
    <x:row r="150" ht="21" customHeight="1">
      <x:c r="A150" s="83" t="n">
        <x:v>45888</x:v>
      </x:c>
      <x:c r="B150" t="str">
        <x:v>terça-feira</x:v>
      </x:c>
      <x:c r="C150" s="85" t="n">
        <x:v>0.5430555555555555</x:v>
      </x:c>
      <x:c r="D150" s="85" t="n">
        <x:v>0.6659722222222222</x:v>
      </x:c>
      <x:c r="E150" s="85" t="n">
        <x:v>0.70625</x:v>
      </x:c>
      <x:c r="F150" s="85" t="n">
        <x:v>0.8784722222222222</x:v>
      </x:c>
      <x:c r="G150" t="str">
        <x:f>TEXT(INT(K150/60),"00")&amp;":"&amp;TEXT(MOD(K150,60),"00")</x:f>
        <x:v>07:05</x:v>
      </x:c>
      <x:c r="H150" t="str">
        <x:f>TEXT(INT(L150/60),"00")&amp;":"&amp;TEXT(MOD(L150,60),"00")</x:f>
        <x:v>07:20</x:v>
      </x:c>
      <x:c r="I150" t="str">
        <x:f>IF(N150&gt;0,"+"&amp;TEXT(INT(N150/60),"00")&amp;":"&amp;TEXT(MOD(N150,60),"00"),"00:00")</x:f>
        <x:v>00:00</x:v>
      </x:c>
      <x:c r="J150" t="str">
        <x:f>IF(O150&gt;0,"-"&amp;TEXT(INT(O150/60),"00")&amp;":"&amp;TEXT(MOD(O150,60),"00"),"00:00")</x:f>
        <x:v>-00:15</x:v>
      </x:c>
      <x:c r="K150" t="n">
        <x:f>ROUND((F150-C150-IF(OR(D150="",E150=""),0,E150-D150))*1440,0)</x:f>
        <x:v>425</x:v>
      </x:c>
      <x:c r="L150" t="n">
        <x:v>440</x:v>
      </x:c>
      <x:c r="M150" t="n">
        <x:f>K150-L150</x:f>
        <x:v>-15</x:v>
      </x:c>
      <x:c r="N150" t="n">
        <x:f>MAX(0,M150)</x:f>
        <x:v>0</x:v>
      </x:c>
      <x:c r="O150" t="n">
        <x:f>MAX(0,-M150)</x:f>
        <x:v>15</x:v>
      </x:c>
      <x:c r="P150" t="str">
        <x:v>Ponto registrado — complemento ilustrativo</x:v>
      </x:c>
      <x:c r="Q150" t="str">
        <x:v>Saída da CONFERÊNCIA DE CAIXA; entrada/intervalo simulados</x:v>
      </x:c>
      <x:c r="R150" t="str">
        <x:v>2025-08</x:v>
      </x:c>
    </x:row>
    <x:row r="151" ht="21" customHeight="1">
      <x:c r="A151" s="83" t="n">
        <x:v>45889</x:v>
      </x:c>
      <x:c r="B151" t="str">
        <x:v>quarta-feira</x:v>
      </x:c>
      <x:c r="C151" s="85" t="n">
        <x:v>0.5375</x:v>
      </x:c>
      <x:c r="D151" s="85" t="n">
        <x:v>0.66875</x:v>
      </x:c>
      <x:c r="E151" s="85" t="n">
        <x:v>0.7118055555555556</x:v>
      </x:c>
      <x:c r="F151" s="85" t="n">
        <x:v>0.8895833333333333</x:v>
      </x:c>
      <x:c r="G151" t="str">
        <x:f>TEXT(INT(K151/60),"00")&amp;":"&amp;TEXT(MOD(K151,60),"00")</x:f>
        <x:v>07:25</x:v>
      </x:c>
      <x:c r="H151" t="str">
        <x:f>TEXT(INT(L151/60),"00")&amp;":"&amp;TEXT(MOD(L151,60),"00")</x:f>
        <x:v>07:20</x:v>
      </x:c>
      <x:c r="I151" t="str">
        <x:f>IF(N151&gt;0,"+"&amp;TEXT(INT(N151/60),"00")&amp;":"&amp;TEXT(MOD(N151,60),"00"),"00:00")</x:f>
        <x:v>+00:05</x:v>
      </x:c>
      <x:c r="J151" t="str">
        <x:f>IF(O151&gt;0,"-"&amp;TEXT(INT(O151/60),"00")&amp;":"&amp;TEXT(MOD(O151,60),"00"),"00:00")</x:f>
        <x:v>00:00</x:v>
      </x:c>
      <x:c r="K151" t="n">
        <x:f>ROUND((F151-C151-IF(OR(D151="",E151=""),0,E151-D151))*1440,0)</x:f>
        <x:v>445</x:v>
      </x:c>
      <x:c r="L151" t="n">
        <x:v>440</x:v>
      </x:c>
      <x:c r="M151" t="n">
        <x:f>K151-L151</x:f>
        <x:v>5</x:v>
      </x:c>
      <x:c r="N151" t="n">
        <x:f>MAX(0,M151)</x:f>
        <x:v>5</x:v>
      </x:c>
      <x:c r="O151" t="n">
        <x:f>MAX(0,-M151)</x:f>
        <x:v>0</x:v>
      </x:c>
      <x:c r="P151" t="str">
        <x:v>Ponto registrado — complemento ilustrativo</x:v>
      </x:c>
      <x:c r="Q151" t="str">
        <x:v>Saída da CONFERÊNCIA DE CAIXA; entrada/intervalo simulados</x:v>
      </x:c>
      <x:c r="R151" t="str">
        <x:v>2025-08</x:v>
      </x:c>
    </x:row>
    <x:row r="152" ht="21" customHeight="1">
      <x:c r="A152" s="83" t="n">
        <x:v>45890</x:v>
      </x:c>
      <x:c r="B152" t="str">
        <x:v>quinta-feira</x:v>
      </x:c>
      <x:c r="C152" s="85" t="n">
        <x:v>0.5375</x:v>
      </x:c>
      <x:c r="D152" s="85" t="n">
        <x:v>0.6666666666666666</x:v>
      </x:c>
      <x:c r="E152" s="85" t="n">
        <x:v>0.7069444444444445</x:v>
      </x:c>
      <x:c r="F152" s="85" t="n">
        <x:v>0.8909722222222223</x:v>
      </x:c>
      <x:c r="G152" t="str">
        <x:f>TEXT(INT(K152/60),"00")&amp;":"&amp;TEXT(MOD(K152,60),"00")</x:f>
        <x:v>07:31</x:v>
      </x:c>
      <x:c r="H152" t="str">
        <x:f>TEXT(INT(L152/60),"00")&amp;":"&amp;TEXT(MOD(L152,60),"00")</x:f>
        <x:v>07:20</x:v>
      </x:c>
      <x:c r="I152" t="str">
        <x:f>IF(N152&gt;0,"+"&amp;TEXT(INT(N152/60),"00")&amp;":"&amp;TEXT(MOD(N152,60),"00"),"00:00")</x:f>
        <x:v>+00:11</x:v>
      </x:c>
      <x:c r="J152" t="str">
        <x:f>IF(O152&gt;0,"-"&amp;TEXT(INT(O152/60),"00")&amp;":"&amp;TEXT(MOD(O152,60),"00"),"00:00")</x:f>
        <x:v>00:00</x:v>
      </x:c>
      <x:c r="K152" t="n">
        <x:f>ROUND((F152-C152-IF(OR(D152="",E152=""),0,E152-D152))*1440,0)</x:f>
        <x:v>451</x:v>
      </x:c>
      <x:c r="L152" t="n">
        <x:v>440</x:v>
      </x:c>
      <x:c r="M152" t="n">
        <x:f>K152-L152</x:f>
        <x:v>11</x:v>
      </x:c>
      <x:c r="N152" t="n">
        <x:f>MAX(0,M152)</x:f>
        <x:v>11</x:v>
      </x:c>
      <x:c r="O152" t="n">
        <x:f>MAX(0,-M152)</x:f>
        <x:v>0</x:v>
      </x:c>
      <x:c r="P152" t="str">
        <x:v>Ponto registrado — complemento ilustrativo</x:v>
      </x:c>
      <x:c r="Q152" t="str">
        <x:v>Saída da CONFERÊNCIA DE CAIXA; entrada/intervalo simulados</x:v>
      </x:c>
      <x:c r="R152" t="str">
        <x:v>2025-08</x:v>
      </x:c>
    </x:row>
    <x:row r="153" ht="21" customHeight="1">
      <x:c r="A153" s="83" t="n">
        <x:v>45891</x:v>
      </x:c>
      <x:c r="B153" t="str">
        <x:v>sexta-feira</x:v>
      </x:c>
      <x:c r="C153" s="85" t="n">
        <x:v>0.5375</x:v>
      </x:c>
      <x:c r="D153" s="85" t="n">
        <x:v>0.6694444444444444</x:v>
      </x:c>
      <x:c r="E153" s="85" t="n">
        <x:v>0.7111111111111111</x:v>
      </x:c>
      <x:c r="F153" s="85" t="n">
        <x:v>0.8888888888888888</x:v>
      </x:c>
      <x:c r="G153" t="str">
        <x:f>TEXT(INT(K153/60),"00")&amp;":"&amp;TEXT(MOD(K153,60),"00")</x:f>
        <x:v>07:26</x:v>
      </x:c>
      <x:c r="H153" t="str">
        <x:f>TEXT(INT(L153/60),"00")&amp;":"&amp;TEXT(MOD(L153,60),"00")</x:f>
        <x:v>07:20</x:v>
      </x:c>
      <x:c r="I153" t="str">
        <x:f>IF(N153&gt;0,"+"&amp;TEXT(INT(N153/60),"00")&amp;":"&amp;TEXT(MOD(N153,60),"00"),"00:00")</x:f>
        <x:v>+00:06</x:v>
      </x:c>
      <x:c r="J153" t="str">
        <x:f>IF(O153&gt;0,"-"&amp;TEXT(INT(O153/60),"00")&amp;":"&amp;TEXT(MOD(O153,60),"00"),"00:00")</x:f>
        <x:v>00:00</x:v>
      </x:c>
      <x:c r="K153" t="n">
        <x:f>ROUND((F153-C153-IF(OR(D153="",E153=""),0,E153-D153))*1440,0)</x:f>
        <x:v>446</x:v>
      </x:c>
      <x:c r="L153" t="n">
        <x:v>440</x:v>
      </x:c>
      <x:c r="M153" t="n">
        <x:f>K153-L153</x:f>
        <x:v>6</x:v>
      </x:c>
      <x:c r="N153" t="n">
        <x:f>MAX(0,M153)</x:f>
        <x:v>6</x:v>
      </x:c>
      <x:c r="O153" t="n">
        <x:f>MAX(0,-M153)</x:f>
        <x:v>0</x:v>
      </x:c>
      <x:c r="P153" t="str">
        <x:v>Ponto registrado — complemento ilustrativo</x:v>
      </x:c>
      <x:c r="Q153" t="str">
        <x:v>Saída da CONFERÊNCIA DE CAIXA; entrada/intervalo simulados</x:v>
      </x:c>
      <x:c r="R153" t="str">
        <x:v>2025-08</x:v>
      </x:c>
    </x:row>
    <x:row r="154" ht="21" customHeight="1">
      <x:c r="A154" s="83" t="n">
        <x:v>45892</x:v>
      </x:c>
      <x:c r="B154" t="str">
        <x:v>sábado</x:v>
      </x:c>
      <x:c r="C154" s="85" t="n">
        <x:v>0.5388888888888889</x:v>
      </x:c>
      <x:c r="D154" s="85"/>
      <x:c r="E154" s="85"/>
      <x:c r="F154" s="85" t="n">
        <x:v>0.7027777777777777</x:v>
      </x:c>
      <x:c r="G154" t="str">
        <x:f>TEXT(INT(K154/60),"00")&amp;":"&amp;TEXT(MOD(K154,60),"00")</x:f>
        <x:v>03:56</x:v>
      </x:c>
      <x:c r="H154" t="str">
        <x:f>TEXT(INT(L154/60),"00")&amp;":"&amp;TEXT(MOD(L154,60),"00")</x:f>
        <x:v>04:00</x:v>
      </x:c>
      <x:c r="I154" t="str">
        <x:f>IF(N154&gt;0,"+"&amp;TEXT(INT(N154/60),"00")&amp;":"&amp;TEXT(MOD(N154,60),"00"),"00:00")</x:f>
        <x:v>00:00</x:v>
      </x:c>
      <x:c r="J154" t="str">
        <x:f>IF(O154&gt;0,"-"&amp;TEXT(INT(O154/60),"00")&amp;":"&amp;TEXT(MOD(O154,60),"00"),"00:00")</x:f>
        <x:v>-00:04</x:v>
      </x:c>
      <x:c r="K154" t="n">
        <x:f>ROUND((F154-C154-IF(OR(D154="",E154=""),0,E154-D154))*1440,0)</x:f>
        <x:v>236</x:v>
      </x:c>
      <x:c r="L154" t="n">
        <x:v>240</x:v>
      </x:c>
      <x:c r="M154" t="n">
        <x:f>K154-L154</x:f>
        <x:v>-4</x:v>
      </x:c>
      <x:c r="N154" t="n">
        <x:f>MAX(0,M154)</x:f>
        <x:v>0</x:v>
      </x:c>
      <x:c r="O154" t="n">
        <x:f>MAX(0,-M154)</x:f>
        <x:v>4</x:v>
      </x:c>
      <x:c r="P154" t="str">
        <x:v>Ponto registrado — complemento ilustrativo</x:v>
      </x:c>
      <x:c r="Q154" t="str">
        <x:v>Saída da CONFERÊNCIA DE CAIXA; entrada/intervalo simulados</x:v>
      </x:c>
      <x:c r="R154" t="str">
        <x:v>2025-08</x:v>
      </x:c>
    </x:row>
    <x:row r="155" ht="21" customHeight="1">
      <x:c r="A155" s="83" t="n">
        <x:v>45894</x:v>
      </x:c>
      <x:c r="B155" t="str">
        <x:v>segunda-feira</x:v>
      </x:c>
      <x:c r="C155" s="85" t="n">
        <x:v>0.5375</x:v>
      </x:c>
      <x:c r="D155" s="85" t="n">
        <x:v>0.6708333333333333</x:v>
      </x:c>
      <x:c r="E155" s="85" t="n">
        <x:v>0.7118055555555556</x:v>
      </x:c>
      <x:c r="F155" s="85" t="n">
        <x:v>0.8902777777777777</x:v>
      </x:c>
      <x:c r="G155" t="str">
        <x:f>TEXT(INT(K155/60),"00")&amp;":"&amp;TEXT(MOD(K155,60),"00")</x:f>
        <x:v>07:29</x:v>
      </x:c>
      <x:c r="H155" t="str">
        <x:f>TEXT(INT(L155/60),"00")&amp;":"&amp;TEXT(MOD(L155,60),"00")</x:f>
        <x:v>07:20</x:v>
      </x:c>
      <x:c r="I155" t="str">
        <x:f>IF(N155&gt;0,"+"&amp;TEXT(INT(N155/60),"00")&amp;":"&amp;TEXT(MOD(N155,60),"00"),"00:00")</x:f>
        <x:v>+00:09</x:v>
      </x:c>
      <x:c r="J155" t="str">
        <x:f>IF(O155&gt;0,"-"&amp;TEXT(INT(O155/60),"00")&amp;":"&amp;TEXT(MOD(O155,60),"00"),"00:00")</x:f>
        <x:v>00:00</x:v>
      </x:c>
      <x:c r="K155" t="n">
        <x:f>ROUND((F155-C155-IF(OR(D155="",E155=""),0,E155-D155))*1440,0)</x:f>
        <x:v>449</x:v>
      </x:c>
      <x:c r="L155" t="n">
        <x:v>440</x:v>
      </x:c>
      <x:c r="M155" t="n">
        <x:f>K155-L155</x:f>
        <x:v>9</x:v>
      </x:c>
      <x:c r="N155" t="n">
        <x:f>MAX(0,M155)</x:f>
        <x:v>9</x:v>
      </x:c>
      <x:c r="O155" t="n">
        <x:f>MAX(0,-M155)</x:f>
        <x:v>0</x:v>
      </x:c>
      <x:c r="P155" t="str">
        <x:v>Ponto registrado — complemento ilustrativo</x:v>
      </x:c>
      <x:c r="Q155" t="str">
        <x:v>Saída da CONFERÊNCIA DE CAIXA; entrada/intervalo simulados</x:v>
      </x:c>
      <x:c r="R155" t="str">
        <x:v>2025-08</x:v>
      </x:c>
    </x:row>
    <x:row r="156" ht="21" customHeight="1">
      <x:c r="A156" s="83" t="n">
        <x:v>45895</x:v>
      </x:c>
      <x:c r="B156" t="str">
        <x:v>terça-feira</x:v>
      </x:c>
      <x:c r="C156" s="85" t="n">
        <x:v>0.5430555555555555</x:v>
      </x:c>
      <x:c r="D156" s="85" t="n">
        <x:v>0.6666666666666666</x:v>
      </x:c>
      <x:c r="E156" s="85" t="n">
        <x:v>0.7090277777777778</x:v>
      </x:c>
      <x:c r="F156" s="85" t="n">
        <x:v>0.8881944444444444</x:v>
      </x:c>
      <x:c r="G156" t="str">
        <x:f>TEXT(INT(K156/60),"00")&amp;":"&amp;TEXT(MOD(K156,60),"00")</x:f>
        <x:v>07:16</x:v>
      </x:c>
      <x:c r="H156" t="str">
        <x:f>TEXT(INT(L156/60),"00")&amp;":"&amp;TEXT(MOD(L156,60),"00")</x:f>
        <x:v>07:20</x:v>
      </x:c>
      <x:c r="I156" t="str">
        <x:f>IF(N156&gt;0,"+"&amp;TEXT(INT(N156/60),"00")&amp;":"&amp;TEXT(MOD(N156,60),"00"),"00:00")</x:f>
        <x:v>00:00</x:v>
      </x:c>
      <x:c r="J156" t="str">
        <x:f>IF(O156&gt;0,"-"&amp;TEXT(INT(O156/60),"00")&amp;":"&amp;TEXT(MOD(O156,60),"00"),"00:00")</x:f>
        <x:v>-00:04</x:v>
      </x:c>
      <x:c r="K156" t="n">
        <x:f>ROUND((F156-C156-IF(OR(D156="",E156=""),0,E156-D156))*1440,0)</x:f>
        <x:v>436</x:v>
      </x:c>
      <x:c r="L156" t="n">
        <x:v>440</x:v>
      </x:c>
      <x:c r="M156" t="n">
        <x:f>K156-L156</x:f>
        <x:v>-4</x:v>
      </x:c>
      <x:c r="N156" t="n">
        <x:f>MAX(0,M156)</x:f>
        <x:v>0</x:v>
      </x:c>
      <x:c r="O156" t="n">
        <x:f>MAX(0,-M156)</x:f>
        <x:v>4</x:v>
      </x:c>
      <x:c r="P156" t="str">
        <x:v>Ponto registrado — jornada revisada</x:v>
      </x:c>
      <x:c r="Q156" t="str">
        <x:v>Horários da planilha de jornadas revisada</x:v>
      </x:c>
      <x:c r="R156" t="str">
        <x:v>2025-08</x:v>
      </x:c>
    </x:row>
    <x:row r="157" ht="21" customHeight="1">
      <x:c r="A157" s="83" t="n">
        <x:v>45896</x:v>
      </x:c>
      <x:c r="B157" t="str">
        <x:v>quarta-feira</x:v>
      </x:c>
      <x:c r="C157" s="85" t="n">
        <x:v>0.5402777777777777</x:v>
      </x:c>
      <x:c r="D157" s="85" t="n">
        <x:v>0.6770833333333334</x:v>
      </x:c>
      <x:c r="E157" s="85" t="n">
        <x:v>0.7180555555555556</x:v>
      </x:c>
      <x:c r="F157" s="85" t="n">
        <x:v>0.8895833333333333</x:v>
      </x:c>
      <x:c r="G157" t="str">
        <x:f>TEXT(INT(K157/60),"00")&amp;":"&amp;TEXT(MOD(K157,60),"00")</x:f>
        <x:v>07:24</x:v>
      </x:c>
      <x:c r="H157" t="str">
        <x:f>TEXT(INT(L157/60),"00")&amp;":"&amp;TEXT(MOD(L157,60),"00")</x:f>
        <x:v>07:20</x:v>
      </x:c>
      <x:c r="I157" t="str">
        <x:f>IF(N157&gt;0,"+"&amp;TEXT(INT(N157/60),"00")&amp;":"&amp;TEXT(MOD(N157,60),"00"),"00:00")</x:f>
        <x:v>+00:04</x:v>
      </x:c>
      <x:c r="J157" t="str">
        <x:f>IF(O157&gt;0,"-"&amp;TEXT(INT(O157/60),"00")&amp;":"&amp;TEXT(MOD(O157,60),"00"),"00:00")</x:f>
        <x:v>00:00</x:v>
      </x:c>
      <x:c r="K157" t="n">
        <x:f>ROUND((F157-C157-IF(OR(D157="",E157=""),0,E157-D157))*1440,0)</x:f>
        <x:v>444</x:v>
      </x:c>
      <x:c r="L157" t="n">
        <x:v>440</x:v>
      </x:c>
      <x:c r="M157" t="n">
        <x:f>K157-L157</x:f>
        <x:v>4</x:v>
      </x:c>
      <x:c r="N157" t="n">
        <x:f>MAX(0,M157)</x:f>
        <x:v>4</x:v>
      </x:c>
      <x:c r="O157" t="n">
        <x:f>MAX(0,-M157)</x:f>
        <x:v>0</x:v>
      </x:c>
      <x:c r="P157" t="str">
        <x:v>Ponto registrado — complemento ilustrativo</x:v>
      </x:c>
      <x:c r="Q157" t="str">
        <x:v>Saída da CONFERÊNCIA DE CAIXA; entrada/intervalo simulados</x:v>
      </x:c>
      <x:c r="R157" t="str">
        <x:v>2025-08</x:v>
      </x:c>
    </x:row>
    <x:row r="158" ht="21" customHeight="1">
      <x:c r="A158" s="83" t="n">
        <x:v>45897</x:v>
      </x:c>
      <x:c r="B158" t="str">
        <x:v>quinta-feira</x:v>
      </x:c>
      <x:c r="C158" s="85" t="n">
        <x:v>0.5381944444444444</x:v>
      </x:c>
      <x:c r="D158" s="85" t="n">
        <x:v>0.6715277777777777</x:v>
      </x:c>
      <x:c r="E158" s="85" t="n">
        <x:v>0.7104166666666667</x:v>
      </x:c>
      <x:c r="F158" s="85" t="n">
        <x:v>0.8902777777777777</x:v>
      </x:c>
      <x:c r="G158" t="str">
        <x:f>TEXT(INT(K158/60),"00")&amp;":"&amp;TEXT(MOD(K158,60),"00")</x:f>
        <x:v>07:31</x:v>
      </x:c>
      <x:c r="H158" t="str">
        <x:f>TEXT(INT(L158/60),"00")&amp;":"&amp;TEXT(MOD(L158,60),"00")</x:f>
        <x:v>07:20</x:v>
      </x:c>
      <x:c r="I158" t="str">
        <x:f>IF(N158&gt;0,"+"&amp;TEXT(INT(N158/60),"00")&amp;":"&amp;TEXT(MOD(N158,60),"00"),"00:00")</x:f>
        <x:v>+00:11</x:v>
      </x:c>
      <x:c r="J158" t="str">
        <x:f>IF(O158&gt;0,"-"&amp;TEXT(INT(O158/60),"00")&amp;":"&amp;TEXT(MOD(O158,60),"00"),"00:00")</x:f>
        <x:v>00:00</x:v>
      </x:c>
      <x:c r="K158" t="n">
        <x:f>ROUND((F158-C158-IF(OR(D158="",E158=""),0,E158-D158))*1440,0)</x:f>
        <x:v>451</x:v>
      </x:c>
      <x:c r="L158" t="n">
        <x:v>440</x:v>
      </x:c>
      <x:c r="M158" t="n">
        <x:f>K158-L158</x:f>
        <x:v>11</x:v>
      </x:c>
      <x:c r="N158" t="n">
        <x:f>MAX(0,M158)</x:f>
        <x:v>11</x:v>
      </x:c>
      <x:c r="O158" t="n">
        <x:f>MAX(0,-M158)</x:f>
        <x:v>0</x:v>
      </x:c>
      <x:c r="P158" t="str">
        <x:v>Ponto registrado — complemento ilustrativo</x:v>
      </x:c>
      <x:c r="Q158" t="str">
        <x:v>Saída da CONFERÊNCIA DE CAIXA; entrada/intervalo simulados</x:v>
      </x:c>
      <x:c r="R158" t="str">
        <x:v>2025-08</x:v>
      </x:c>
    </x:row>
    <x:row r="159" ht="21" customHeight="1">
      <x:c r="A159" s="83" t="n">
        <x:v>45898</x:v>
      </x:c>
      <x:c r="B159" t="str">
        <x:v>sexta-feira</x:v>
      </x:c>
      <x:c r="C159" s="85" t="n">
        <x:v>0.5472222222222223</x:v>
      </x:c>
      <x:c r="D159" s="85" t="n">
        <x:v>0.6777777777777778</x:v>
      </x:c>
      <x:c r="E159" s="85" t="n">
        <x:v>0.7215277777777778</x:v>
      </x:c>
      <x:c r="F159" s="85" t="n">
        <x:v>0.8916666666666667</x:v>
      </x:c>
      <x:c r="G159" t="str">
        <x:f>TEXT(INT(K159/60),"00")&amp;":"&amp;TEXT(MOD(K159,60),"00")</x:f>
        <x:v>07:13</x:v>
      </x:c>
      <x:c r="H159" t="str">
        <x:f>TEXT(INT(L159/60),"00")&amp;":"&amp;TEXT(MOD(L159,60),"00")</x:f>
        <x:v>07:20</x:v>
      </x:c>
      <x:c r="I159" t="str">
        <x:f>IF(N159&gt;0,"+"&amp;TEXT(INT(N159/60),"00")&amp;":"&amp;TEXT(MOD(N159,60),"00"),"00:00")</x:f>
        <x:v>00:00</x:v>
      </x:c>
      <x:c r="J159" t="str">
        <x:f>IF(O159&gt;0,"-"&amp;TEXT(INT(O159/60),"00")&amp;":"&amp;TEXT(MOD(O159,60),"00"),"00:00")</x:f>
        <x:v>-00:07</x:v>
      </x:c>
      <x:c r="K159" t="n">
        <x:f>ROUND((F159-C159-IF(OR(D159="",E159=""),0,E159-D159))*1440,0)</x:f>
        <x:v>433</x:v>
      </x:c>
      <x:c r="L159" t="n">
        <x:v>440</x:v>
      </x:c>
      <x:c r="M159" t="n">
        <x:f>K159-L159</x:f>
        <x:v>-7</x:v>
      </x:c>
      <x:c r="N159" t="n">
        <x:f>MAX(0,M159)</x:f>
        <x:v>0</x:v>
      </x:c>
      <x:c r="O159" t="n">
        <x:f>MAX(0,-M159)</x:f>
        <x:v>7</x:v>
      </x:c>
      <x:c r="P159" t="str">
        <x:v>Ponto registrado — complemento ilustrativo</x:v>
      </x:c>
      <x:c r="Q159" t="str">
        <x:v>Saída da CONFERÊNCIA DE CAIXA; entrada/intervalo simulados</x:v>
      </x:c>
      <x:c r="R159" t="str">
        <x:v>2025-08</x:v>
      </x:c>
    </x:row>
    <x:row r="160" ht="21" customHeight="1">
      <x:c r="A160" s="83" t="n">
        <x:v>45899</x:v>
      </x:c>
      <x:c r="B160" t="str">
        <x:v>sábado</x:v>
      </x:c>
      <x:c r="C160" s="85" t="n">
        <x:v>0.5472222222222223</x:v>
      </x:c>
      <x:c r="D160" s="85"/>
      <x:c r="E160" s="85"/>
      <x:c r="F160" s="85" t="n">
        <x:v>0.7083333333333334</x:v>
      </x:c>
      <x:c r="G160" t="str">
        <x:f>TEXT(INT(K160/60),"00")&amp;":"&amp;TEXT(MOD(K160,60),"00")</x:f>
        <x:v>03:52</x:v>
      </x:c>
      <x:c r="H160" t="str">
        <x:f>TEXT(INT(L160/60),"00")&amp;":"&amp;TEXT(MOD(L160,60),"00")</x:f>
        <x:v>04:00</x:v>
      </x:c>
      <x:c r="I160" t="str">
        <x:f>IF(N160&gt;0,"+"&amp;TEXT(INT(N160/60),"00")&amp;":"&amp;TEXT(MOD(N160,60),"00"),"00:00")</x:f>
        <x:v>00:00</x:v>
      </x:c>
      <x:c r="J160" t="str">
        <x:f>IF(O160&gt;0,"-"&amp;TEXT(INT(O160/60),"00")&amp;":"&amp;TEXT(MOD(O160,60),"00"),"00:00")</x:f>
        <x:v>-00:08</x:v>
      </x:c>
      <x:c r="K160" t="n">
        <x:f>ROUND((F160-C160-IF(OR(D160="",E160=""),0,E160-D160))*1440,0)</x:f>
        <x:v>232</x:v>
      </x:c>
      <x:c r="L160" t="n">
        <x:v>240</x:v>
      </x:c>
      <x:c r="M160" t="n">
        <x:f>K160-L160</x:f>
        <x:v>-8</x:v>
      </x:c>
      <x:c r="N160" t="n">
        <x:f>MAX(0,M160)</x:f>
        <x:v>0</x:v>
      </x:c>
      <x:c r="O160" t="n">
        <x:f>MAX(0,-M160)</x:f>
        <x:v>8</x:v>
      </x:c>
      <x:c r="P160" t="str">
        <x:v>Ponto registrado — complemento ilustrativo</x:v>
      </x:c>
      <x:c r="Q160" t="str">
        <x:v>Saída da CONFERÊNCIA DE CAIXA; entrada/intervalo simulados</x:v>
      </x:c>
      <x:c r="R160" t="str">
        <x:v>2025-08</x:v>
      </x:c>
    </x:row>
    <x:row r="161" ht="21" customHeight="1">
      <x:c r="A161" s="83" t="n">
        <x:v>45901</x:v>
      </x:c>
      <x:c r="B161" t="str">
        <x:v>segunda-feira</x:v>
      </x:c>
      <x:c r="C161" s="85" t="n">
        <x:v>0.5458333333333333</x:v>
      </x:c>
      <x:c r="D161" s="85" t="n">
        <x:v>0.6743055555555556</x:v>
      </x:c>
      <x:c r="E161" s="85" t="n">
        <x:v>0.7180555555555556</x:v>
      </x:c>
      <x:c r="F161" s="85" t="n">
        <x:v>0.8902777777777777</x:v>
      </x:c>
      <x:c r="G161" t="str">
        <x:f>TEXT(INT(K161/60),"00")&amp;":"&amp;TEXT(MOD(K161,60),"00")</x:f>
        <x:v>07:13</x:v>
      </x:c>
      <x:c r="H161" t="str">
        <x:f>TEXT(INT(L161/60),"00")&amp;":"&amp;TEXT(MOD(L161,60),"00")</x:f>
        <x:v>07:20</x:v>
      </x:c>
      <x:c r="I161" t="str">
        <x:f>IF(N161&gt;0,"+"&amp;TEXT(INT(N161/60),"00")&amp;":"&amp;TEXT(MOD(N161,60),"00"),"00:00")</x:f>
        <x:v>00:00</x:v>
      </x:c>
      <x:c r="J161" t="str">
        <x:f>IF(O161&gt;0,"-"&amp;TEXT(INT(O161/60),"00")&amp;":"&amp;TEXT(MOD(O161,60),"00"),"00:00")</x:f>
        <x:v>-00:07</x:v>
      </x:c>
      <x:c r="K161" t="n">
        <x:f>ROUND((F161-C161-IF(OR(D161="",E161=""),0,E161-D161))*1440,0)</x:f>
        <x:v>433</x:v>
      </x:c>
      <x:c r="L161" t="n">
        <x:v>440</x:v>
      </x:c>
      <x:c r="M161" t="n">
        <x:f>K161-L161</x:f>
        <x:v>-7</x:v>
      </x:c>
      <x:c r="N161" t="n">
        <x:f>MAX(0,M161)</x:f>
        <x:v>0</x:v>
      </x:c>
      <x:c r="O161" t="n">
        <x:f>MAX(0,-M161)</x:f>
        <x:v>7</x:v>
      </x:c>
      <x:c r="P161" t="str">
        <x:v>Ponto registrado — complemento ilustrativo</x:v>
      </x:c>
      <x:c r="Q161" t="str">
        <x:v>Saída da CONFERÊNCIA DE CAIXA; entrada/intervalo simulados</x:v>
      </x:c>
      <x:c r="R161" t="str">
        <x:v>2025-09</x:v>
      </x:c>
    </x:row>
    <x:row r="162" ht="21" customHeight="1">
      <x:c r="A162" s="83" t="n">
        <x:v>45902</x:v>
      </x:c>
      <x:c r="B162" t="str">
        <x:v>terça-feira</x:v>
      </x:c>
      <x:c r="C162" s="85" t="n">
        <x:v>0.5423611111111111</x:v>
      </x:c>
      <x:c r="D162" s="85" t="n">
        <x:v>0.6798611111111111</x:v>
      </x:c>
      <x:c r="E162" s="85" t="n">
        <x:v>0.7201388888888889</x:v>
      </x:c>
      <x:c r="F162" s="85" t="n">
        <x:v>0.8881944444444444</x:v>
      </x:c>
      <x:c r="G162" t="str">
        <x:f>TEXT(INT(K162/60),"00")&amp;":"&amp;TEXT(MOD(K162,60),"00")</x:f>
        <x:v>07:20</x:v>
      </x:c>
      <x:c r="H162" t="str">
        <x:f>TEXT(INT(L162/60),"00")&amp;":"&amp;TEXT(MOD(L162,60),"00")</x:f>
        <x:v>07:20</x:v>
      </x:c>
      <x:c r="I162" t="str">
        <x:f>IF(N162&gt;0,"+"&amp;TEXT(INT(N162/60),"00")&amp;":"&amp;TEXT(MOD(N162,60),"00"),"00:00")</x:f>
        <x:v>00:00</x:v>
      </x:c>
      <x:c r="J162" t="str">
        <x:f>IF(O162&gt;0,"-"&amp;TEXT(INT(O162/60),"00")&amp;":"&amp;TEXT(MOD(O162,60),"00"),"00:00")</x:f>
        <x:v>00:00</x:v>
      </x:c>
      <x:c r="K162" t="n">
        <x:f>ROUND((F162-C162-IF(OR(D162="",E162=""),0,E162-D162))*1440,0)</x:f>
        <x:v>440</x:v>
      </x:c>
      <x:c r="L162" t="n">
        <x:v>440</x:v>
      </x:c>
      <x:c r="M162" t="n">
        <x:f>K162-L162</x:f>
        <x:v>0</x:v>
      </x:c>
      <x:c r="N162" t="n">
        <x:f>MAX(0,M162)</x:f>
        <x:v>0</x:v>
      </x:c>
      <x:c r="O162" t="n">
        <x:f>MAX(0,-M162)</x:f>
        <x:v>0</x:v>
      </x:c>
      <x:c r="P162" t="str">
        <x:v>Ponto registrado — complemento ilustrativo</x:v>
      </x:c>
      <x:c r="Q162" t="str">
        <x:v>Saída da CONFERÊNCIA DE CAIXA; entrada/intervalo simulados</x:v>
      </x:c>
      <x:c r="R162" t="str">
        <x:v>2025-09</x:v>
      </x:c>
    </x:row>
    <x:row r="163" ht="21" customHeight="1">
      <x:c r="A163" s="83" t="n">
        <x:v>45903</x:v>
      </x:c>
      <x:c r="B163" t="str">
        <x:v>quarta-feira</x:v>
      </x:c>
      <x:c r="C163" s="85" t="n">
        <x:v>0.5402777777777777</x:v>
      </x:c>
      <x:c r="D163" s="85" t="n">
        <x:v>0.6777777777777778</x:v>
      </x:c>
      <x:c r="E163" s="85" t="n">
        <x:v>0.7180555555555556</x:v>
      </x:c>
      <x:c r="F163" s="85" t="n">
        <x:v>0.8875</x:v>
      </x:c>
      <x:c r="G163" t="str">
        <x:f>TEXT(INT(K163/60),"00")&amp;":"&amp;TEXT(MOD(K163,60),"00")</x:f>
        <x:v>07:22</x:v>
      </x:c>
      <x:c r="H163" t="str">
        <x:f>TEXT(INT(L163/60),"00")&amp;":"&amp;TEXT(MOD(L163,60),"00")</x:f>
        <x:v>07:20</x:v>
      </x:c>
      <x:c r="I163" t="str">
        <x:f>IF(N163&gt;0,"+"&amp;TEXT(INT(N163/60),"00")&amp;":"&amp;TEXT(MOD(N163,60),"00"),"00:00")</x:f>
        <x:v>+00:02</x:v>
      </x:c>
      <x:c r="J163" t="str">
        <x:f>IF(O163&gt;0,"-"&amp;TEXT(INT(O163/60),"00")&amp;":"&amp;TEXT(MOD(O163,60),"00"),"00:00")</x:f>
        <x:v>00:00</x:v>
      </x:c>
      <x:c r="K163" t="n">
        <x:f>ROUND((F163-C163-IF(OR(D163="",E163=""),0,E163-D163))*1440,0)</x:f>
        <x:v>442</x:v>
      </x:c>
      <x:c r="L163" t="n">
        <x:v>440</x:v>
      </x:c>
      <x:c r="M163" t="n">
        <x:f>K163-L163</x:f>
        <x:v>2</x:v>
      </x:c>
      <x:c r="N163" t="n">
        <x:f>MAX(0,M163)</x:f>
        <x:v>2</x:v>
      </x:c>
      <x:c r="O163" t="n">
        <x:f>MAX(0,-M163)</x:f>
        <x:v>0</x:v>
      </x:c>
      <x:c r="P163" t="str">
        <x:v>Ponto registrado — complemento ilustrativo</x:v>
      </x:c>
      <x:c r="Q163" t="str">
        <x:v>Saída da CONFERÊNCIA DE CAIXA; entrada/intervalo simulados</x:v>
      </x:c>
      <x:c r="R163" t="str">
        <x:v>2025-09</x:v>
      </x:c>
    </x:row>
    <x:row r="164" ht="21" customHeight="1">
      <x:c r="A164" s="83" t="n">
        <x:v>45904</x:v>
      </x:c>
      <x:c r="B164" t="str">
        <x:v>quinta-feira</x:v>
      </x:c>
      <x:c r="C164" s="85" t="n">
        <x:v>0.5472222222222223</x:v>
      </x:c>
      <x:c r="D164" s="85" t="n">
        <x:v>0.6694444444444444</x:v>
      </x:c>
      <x:c r="E164" s="85" t="n">
        <x:v>0.7138888888888889</x:v>
      </x:c>
      <x:c r="F164" s="85" t="n">
        <x:v>0.8902777777777777</x:v>
      </x:c>
      <x:c r="G164" t="str">
        <x:f>TEXT(INT(K164/60),"00")&amp;":"&amp;TEXT(MOD(K164,60),"00")</x:f>
        <x:v>07:10</x:v>
      </x:c>
      <x:c r="H164" t="str">
        <x:f>TEXT(INT(L164/60),"00")&amp;":"&amp;TEXT(MOD(L164,60),"00")</x:f>
        <x:v>07:20</x:v>
      </x:c>
      <x:c r="I164" t="str">
        <x:f>IF(N164&gt;0,"+"&amp;TEXT(INT(N164/60),"00")&amp;":"&amp;TEXT(MOD(N164,60),"00"),"00:00")</x:f>
        <x:v>00:00</x:v>
      </x:c>
      <x:c r="J164" t="str">
        <x:f>IF(O164&gt;0,"-"&amp;TEXT(INT(O164/60),"00")&amp;":"&amp;TEXT(MOD(O164,60),"00"),"00:00")</x:f>
        <x:v>-00:10</x:v>
      </x:c>
      <x:c r="K164" t="n">
        <x:f>ROUND((F164-C164-IF(OR(D164="",E164=""),0,E164-D164))*1440,0)</x:f>
        <x:v>430</x:v>
      </x:c>
      <x:c r="L164" t="n">
        <x:v>440</x:v>
      </x:c>
      <x:c r="M164" t="n">
        <x:f>K164-L164</x:f>
        <x:v>-10</x:v>
      </x:c>
      <x:c r="N164" t="n">
        <x:f>MAX(0,M164)</x:f>
        <x:v>0</x:v>
      </x:c>
      <x:c r="O164" t="n">
        <x:f>MAX(0,-M164)</x:f>
        <x:v>10</x:v>
      </x:c>
      <x:c r="P164" t="str">
        <x:v>Ponto registrado — complemento ilustrativo</x:v>
      </x:c>
      <x:c r="Q164" t="str">
        <x:v>Saída da CONFERÊNCIA DE CAIXA; entrada/intervalo simulados</x:v>
      </x:c>
      <x:c r="R164" t="str">
        <x:v>2025-09</x:v>
      </x:c>
    </x:row>
    <x:row r="165" ht="21" customHeight="1">
      <x:c r="A165" s="83" t="n">
        <x:v>45905</x:v>
      </x:c>
      <x:c r="B165" t="str">
        <x:v>sexta-feira</x:v>
      </x:c>
      <x:c r="C165" s="85" t="n">
        <x:v>0.5395833333333333</x:v>
      </x:c>
      <x:c r="D165" s="85" t="n">
        <x:v>0.6715277777777777</x:v>
      </x:c>
      <x:c r="E165" s="85" t="n">
        <x:v>0.7131944444444445</x:v>
      </x:c>
      <x:c r="F165" s="85" t="n">
        <x:v>0.8902777777777777</x:v>
      </x:c>
      <x:c r="G165" t="str">
        <x:f>TEXT(INT(K165/60),"00")&amp;":"&amp;TEXT(MOD(K165,60),"00")</x:f>
        <x:v>07:25</x:v>
      </x:c>
      <x:c r="H165" t="str">
        <x:f>TEXT(INT(L165/60),"00")&amp;":"&amp;TEXT(MOD(L165,60),"00")</x:f>
        <x:v>07:20</x:v>
      </x:c>
      <x:c r="I165" t="str">
        <x:f>IF(N165&gt;0,"+"&amp;TEXT(INT(N165/60),"00")&amp;":"&amp;TEXT(MOD(N165,60),"00"),"00:00")</x:f>
        <x:v>+00:05</x:v>
      </x:c>
      <x:c r="J165" t="str">
        <x:f>IF(O165&gt;0,"-"&amp;TEXT(INT(O165/60),"00")&amp;":"&amp;TEXT(MOD(O165,60),"00"),"00:00")</x:f>
        <x:v>00:00</x:v>
      </x:c>
      <x:c r="K165" t="n">
        <x:f>ROUND((F165-C165-IF(OR(D165="",E165=""),0,E165-D165))*1440,0)</x:f>
        <x:v>445</x:v>
      </x:c>
      <x:c r="L165" t="n">
        <x:v>440</x:v>
      </x:c>
      <x:c r="M165" t="n">
        <x:f>K165-L165</x:f>
        <x:v>5</x:v>
      </x:c>
      <x:c r="N165" t="n">
        <x:f>MAX(0,M165)</x:f>
        <x:v>5</x:v>
      </x:c>
      <x:c r="O165" t="n">
        <x:f>MAX(0,-M165)</x:f>
        <x:v>0</x:v>
      </x:c>
      <x:c r="P165" t="str">
        <x:v>Ponto registrado — complemento ilustrativo</x:v>
      </x:c>
      <x:c r="Q165" t="str">
        <x:v>Saída da CONFERÊNCIA DE CAIXA; entrada/intervalo simulados</x:v>
      </x:c>
      <x:c r="R165" t="str">
        <x:v>2025-09</x:v>
      </x:c>
    </x:row>
    <x:row r="166" ht="21" customHeight="1">
      <x:c r="A166" s="83" t="n">
        <x:v>45906</x:v>
      </x:c>
      <x:c r="B166" t="str">
        <x:v>sábado</x:v>
      </x:c>
      <x:c r="C166" s="85" t="n">
        <x:v>0.5416666666666666</x:v>
      </x:c>
      <x:c r="D166" s="85" t="n">
        <x:v>0.65625</x:v>
      </x:c>
      <x:c r="E166" s="85" t="n">
        <x:v>0.6979166666666666</x:v>
      </x:c>
      <x:c r="F166" s="85" t="n">
        <x:v>0.9131944444444444</x:v>
      </x:c>
      <x:c r="G166" t="str">
        <x:f>TEXT(INT(K166/60),"00")&amp;":"&amp;TEXT(MOD(K166,60),"00")</x:f>
        <x:v>07:55</x:v>
      </x:c>
      <x:c r="H166" t="str">
        <x:f>TEXT(INT(L166/60),"00")&amp;":"&amp;TEXT(MOD(L166,60),"00")</x:f>
        <x:v>04:00</x:v>
      </x:c>
      <x:c r="I166" t="str">
        <x:f>IF(N166&gt;0,"+"&amp;TEXT(INT(N166/60),"00")&amp;":"&amp;TEXT(MOD(N166,60),"00"),"00:00")</x:f>
        <x:v>+03:55</x:v>
      </x:c>
      <x:c r="J166" t="str">
        <x:f>IF(O166&gt;0,"-"&amp;TEXT(INT(O166/60),"00")&amp;":"&amp;TEXT(MOD(O166,60),"00"),"00:00")</x:f>
        <x:v>00:00</x:v>
      </x:c>
      <x:c r="K166" t="n">
        <x:f>ROUND((F166-C166-IF(OR(D166="",E166=""),0,E166-D166))*1440,0)</x:f>
        <x:v>475</x:v>
      </x:c>
      <x:c r="L166" t="n">
        <x:v>240</x:v>
      </x:c>
      <x:c r="M166" t="n">
        <x:f>K166-L166</x:f>
        <x:v>235</x:v>
      </x:c>
      <x:c r="N166" t="n">
        <x:f>MAX(0,M166)</x:f>
        <x:v>235</x:v>
      </x:c>
      <x:c r="O166" t="n">
        <x:f>MAX(0,-M166)</x:f>
        <x:v>0</x:v>
      </x:c>
      <x:c r="P166" t="str">
        <x:v>Ponto registrado — jornada revisada</x:v>
      </x:c>
      <x:c r="Q166" t="str">
        <x:v>Horários da planilha de jornadas revisada</x:v>
      </x:c>
      <x:c r="R166" t="str">
        <x:v>2025-09</x:v>
      </x:c>
    </x:row>
    <x:row r="167" ht="21" customHeight="1">
      <x:c r="A167" s="83" t="n">
        <x:v>45908</x:v>
      </x:c>
      <x:c r="B167" t="str">
        <x:v>segunda-feira</x:v>
      </x:c>
      <x:c r="C167" s="85" t="n">
        <x:v>0.5375</x:v>
      </x:c>
      <x:c r="D167" s="85" t="n">
        <x:v>0.6763888888888889</x:v>
      </x:c>
      <x:c r="E167" s="85" t="n">
        <x:v>0.7173611111111111</x:v>
      </x:c>
      <x:c r="F167" s="85" t="n">
        <x:v>0.8888888888888888</x:v>
      </x:c>
      <x:c r="G167" t="str">
        <x:f>TEXT(INT(K167/60),"00")&amp;":"&amp;TEXT(MOD(K167,60),"00")</x:f>
        <x:v>07:27</x:v>
      </x:c>
      <x:c r="H167" t="str">
        <x:f>TEXT(INT(L167/60),"00")&amp;":"&amp;TEXT(MOD(L167,60),"00")</x:f>
        <x:v>07:20</x:v>
      </x:c>
      <x:c r="I167" t="str">
        <x:f>IF(N167&gt;0,"+"&amp;TEXT(INT(N167/60),"00")&amp;":"&amp;TEXT(MOD(N167,60),"00"),"00:00")</x:f>
        <x:v>+00:07</x:v>
      </x:c>
      <x:c r="J167" t="str">
        <x:f>IF(O167&gt;0,"-"&amp;TEXT(INT(O167/60),"00")&amp;":"&amp;TEXT(MOD(O167,60),"00"),"00:00")</x:f>
        <x:v>00:00</x:v>
      </x:c>
      <x:c r="K167" t="n">
        <x:f>ROUND((F167-C167-IF(OR(D167="",E167=""),0,E167-D167))*1440,0)</x:f>
        <x:v>447</x:v>
      </x:c>
      <x:c r="L167" t="n">
        <x:v>440</x:v>
      </x:c>
      <x:c r="M167" t="n">
        <x:f>K167-L167</x:f>
        <x:v>7</x:v>
      </x:c>
      <x:c r="N167" t="n">
        <x:f>MAX(0,M167)</x:f>
        <x:v>7</x:v>
      </x:c>
      <x:c r="O167" t="n">
        <x:f>MAX(0,-M167)</x:f>
        <x:v>0</x:v>
      </x:c>
      <x:c r="P167" t="str">
        <x:v>Ponto registrado — complemento ilustrativo</x:v>
      </x:c>
      <x:c r="Q167" t="str">
        <x:v>Saída da CONFERÊNCIA DE CAIXA; entrada/intervalo simulados</x:v>
      </x:c>
      <x:c r="R167" t="str">
        <x:v>2025-09</x:v>
      </x:c>
    </x:row>
    <x:row r="168" ht="21" customHeight="1">
      <x:c r="A168" s="83" t="n">
        <x:v>45909</x:v>
      </x:c>
      <x:c r="B168" t="str">
        <x:v>terça-feira</x:v>
      </x:c>
      <x:c r="C168" s="85" t="n">
        <x:v>0.5402777777777777</x:v>
      </x:c>
      <x:c r="D168" s="85" t="n">
        <x:v>0.6777777777777778</x:v>
      </x:c>
      <x:c r="E168" s="85" t="n">
        <x:v>0.7166666666666667</x:v>
      </x:c>
      <x:c r="F168" s="85" t="n">
        <x:v>0.8888888888888888</x:v>
      </x:c>
      <x:c r="G168" t="str">
        <x:f>TEXT(INT(K168/60),"00")&amp;":"&amp;TEXT(MOD(K168,60),"00")</x:f>
        <x:v>07:26</x:v>
      </x:c>
      <x:c r="H168" t="str">
        <x:f>TEXT(INT(L168/60),"00")&amp;":"&amp;TEXT(MOD(L168,60),"00")</x:f>
        <x:v>07:20</x:v>
      </x:c>
      <x:c r="I168" t="str">
        <x:f>IF(N168&gt;0,"+"&amp;TEXT(INT(N168/60),"00")&amp;":"&amp;TEXT(MOD(N168,60),"00"),"00:00")</x:f>
        <x:v>+00:06</x:v>
      </x:c>
      <x:c r="J168" t="str">
        <x:f>IF(O168&gt;0,"-"&amp;TEXT(INT(O168/60),"00")&amp;":"&amp;TEXT(MOD(O168,60),"00"),"00:00")</x:f>
        <x:v>00:00</x:v>
      </x:c>
      <x:c r="K168" t="n">
        <x:f>ROUND((F168-C168-IF(OR(D168="",E168=""),0,E168-D168))*1440,0)</x:f>
        <x:v>446</x:v>
      </x:c>
      <x:c r="L168" t="n">
        <x:v>440</x:v>
      </x:c>
      <x:c r="M168" t="n">
        <x:f>K168-L168</x:f>
        <x:v>6</x:v>
      </x:c>
      <x:c r="N168" t="n">
        <x:f>MAX(0,M168)</x:f>
        <x:v>6</x:v>
      </x:c>
      <x:c r="O168" t="n">
        <x:f>MAX(0,-M168)</x:f>
        <x:v>0</x:v>
      </x:c>
      <x:c r="P168" t="str">
        <x:v>Ponto registrado — complemento ilustrativo</x:v>
      </x:c>
      <x:c r="Q168" t="str">
        <x:v>Saída da CONFERÊNCIA DE CAIXA; entrada/intervalo simulados</x:v>
      </x:c>
      <x:c r="R168" t="str">
        <x:v>2025-09</x:v>
      </x:c>
    </x:row>
    <x:row r="169" ht="21" customHeight="1">
      <x:c r="A169" s="83" t="n">
        <x:v>45910</x:v>
      </x:c>
      <x:c r="B169" t="str">
        <x:v>quarta-feira</x:v>
      </x:c>
      <x:c r="C169" s="85" t="n">
        <x:v>0.5458333333333333</x:v>
      </x:c>
      <x:c r="D169" s="85" t="n">
        <x:v>0.6715277777777777</x:v>
      </x:c>
      <x:c r="E169" s="85" t="n">
        <x:v>0.7145833333333333</x:v>
      </x:c>
      <x:c r="F169" s="85" t="n">
        <x:v>0.8909722222222223</x:v>
      </x:c>
      <x:c r="G169" t="str">
        <x:f>TEXT(INT(K169/60),"00")&amp;":"&amp;TEXT(MOD(K169,60),"00")</x:f>
        <x:v>07:15</x:v>
      </x:c>
      <x:c r="H169" t="str">
        <x:f>TEXT(INT(L169/60),"00")&amp;":"&amp;TEXT(MOD(L169,60),"00")</x:f>
        <x:v>07:20</x:v>
      </x:c>
      <x:c r="I169" t="str">
        <x:f>IF(N169&gt;0,"+"&amp;TEXT(INT(N169/60),"00")&amp;":"&amp;TEXT(MOD(N169,60),"00"),"00:00")</x:f>
        <x:v>00:00</x:v>
      </x:c>
      <x:c r="J169" t="str">
        <x:f>IF(O169&gt;0,"-"&amp;TEXT(INT(O169/60),"00")&amp;":"&amp;TEXT(MOD(O169,60),"00"),"00:00")</x:f>
        <x:v>-00:05</x:v>
      </x:c>
      <x:c r="K169" t="n">
        <x:f>ROUND((F169-C169-IF(OR(D169="",E169=""),0,E169-D169))*1440,0)</x:f>
        <x:v>435</x:v>
      </x:c>
      <x:c r="L169" t="n">
        <x:v>440</x:v>
      </x:c>
      <x:c r="M169" t="n">
        <x:f>K169-L169</x:f>
        <x:v>-5</x:v>
      </x:c>
      <x:c r="N169" t="n">
        <x:f>MAX(0,M169)</x:f>
        <x:v>0</x:v>
      </x:c>
      <x:c r="O169" t="n">
        <x:f>MAX(0,-M169)</x:f>
        <x:v>5</x:v>
      </x:c>
      <x:c r="P169" t="str">
        <x:v>Ponto registrado — complemento ilustrativo</x:v>
      </x:c>
      <x:c r="Q169" t="str">
        <x:v>Saída da CONFERÊNCIA DE CAIXA; entrada/intervalo simulados</x:v>
      </x:c>
      <x:c r="R169" t="str">
        <x:v>2025-09</x:v>
      </x:c>
    </x:row>
    <x:row r="170" ht="21" customHeight="1">
      <x:c r="A170" s="83" t="n">
        <x:v>45911</x:v>
      </x:c>
      <x:c r="B170" t="str">
        <x:v>quinta-feira</x:v>
      </x:c>
      <x:c r="C170" s="85" t="n">
        <x:v>0.5430555555555555</x:v>
      </x:c>
      <x:c r="D170" s="85" t="n">
        <x:v>0.6770833333333334</x:v>
      </x:c>
      <x:c r="E170" s="85" t="n">
        <x:v>0.7180555555555556</x:v>
      </x:c>
      <x:c r="F170" s="85" t="n">
        <x:v>0.8798611111111111</x:v>
      </x:c>
      <x:c r="G170" t="str">
        <x:f>TEXT(INT(K170/60),"00")&amp;":"&amp;TEXT(MOD(K170,60),"00")</x:f>
        <x:v>07:06</x:v>
      </x:c>
      <x:c r="H170" t="str">
        <x:f>TEXT(INT(L170/60),"00")&amp;":"&amp;TEXT(MOD(L170,60),"00")</x:f>
        <x:v>07:20</x:v>
      </x:c>
      <x:c r="I170" t="str">
        <x:f>IF(N170&gt;0,"+"&amp;TEXT(INT(N170/60),"00")&amp;":"&amp;TEXT(MOD(N170,60),"00"),"00:00")</x:f>
        <x:v>00:00</x:v>
      </x:c>
      <x:c r="J170" t="str">
        <x:f>IF(O170&gt;0,"-"&amp;TEXT(INT(O170/60),"00")&amp;":"&amp;TEXT(MOD(O170,60),"00"),"00:00")</x:f>
        <x:v>-00:14</x:v>
      </x:c>
      <x:c r="K170" t="n">
        <x:f>ROUND((F170-C170-IF(OR(D170="",E170=""),0,E170-D170))*1440,0)</x:f>
        <x:v>426</x:v>
      </x:c>
      <x:c r="L170" t="n">
        <x:v>440</x:v>
      </x:c>
      <x:c r="M170" t="n">
        <x:f>K170-L170</x:f>
        <x:v>-14</x:v>
      </x:c>
      <x:c r="N170" t="n">
        <x:f>MAX(0,M170)</x:f>
        <x:v>0</x:v>
      </x:c>
      <x:c r="O170" t="n">
        <x:f>MAX(0,-M170)</x:f>
        <x:v>14</x:v>
      </x:c>
      <x:c r="P170" t="str">
        <x:v>Ponto registrado — complemento ilustrativo</x:v>
      </x:c>
      <x:c r="Q170" t="str">
        <x:v>Saída da CONFERÊNCIA DE CAIXA; entrada/intervalo simulados</x:v>
      </x:c>
      <x:c r="R170" t="str">
        <x:v>2025-09</x:v>
      </x:c>
    </x:row>
    <x:row r="171" ht="21" customHeight="1">
      <x:c r="A171" s="83" t="n">
        <x:v>45912</x:v>
      </x:c>
      <x:c r="B171" t="str">
        <x:v>sexta-feira</x:v>
      </x:c>
      <x:c r="C171" s="85" t="n">
        <x:v>0.5375</x:v>
      </x:c>
      <x:c r="D171" s="85" t="n">
        <x:v>0.6736111111111112</x:v>
      </x:c>
      <x:c r="E171" s="85" t="n">
        <x:v>0.7180555555555556</x:v>
      </x:c>
      <x:c r="F171" s="85" t="n">
        <x:v>0.8902777777777777</x:v>
      </x:c>
      <x:c r="G171" t="str">
        <x:f>TEXT(INT(K171/60),"00")&amp;":"&amp;TEXT(MOD(K171,60),"00")</x:f>
        <x:v>07:24</x:v>
      </x:c>
      <x:c r="H171" t="str">
        <x:f>TEXT(INT(L171/60),"00")&amp;":"&amp;TEXT(MOD(L171,60),"00")</x:f>
        <x:v>07:20</x:v>
      </x:c>
      <x:c r="I171" t="str">
        <x:f>IF(N171&gt;0,"+"&amp;TEXT(INT(N171/60),"00")&amp;":"&amp;TEXT(MOD(N171,60),"00"),"00:00")</x:f>
        <x:v>+00:04</x:v>
      </x:c>
      <x:c r="J171" t="str">
        <x:f>IF(O171&gt;0,"-"&amp;TEXT(INT(O171/60),"00")&amp;":"&amp;TEXT(MOD(O171,60),"00"),"00:00")</x:f>
        <x:v>00:00</x:v>
      </x:c>
      <x:c r="K171" t="n">
        <x:f>ROUND((F171-C171-IF(OR(D171="",E171=""),0,E171-D171))*1440,0)</x:f>
        <x:v>444</x:v>
      </x:c>
      <x:c r="L171" t="n">
        <x:v>440</x:v>
      </x:c>
      <x:c r="M171" t="n">
        <x:f>K171-L171</x:f>
        <x:v>4</x:v>
      </x:c>
      <x:c r="N171" t="n">
        <x:f>MAX(0,M171)</x:f>
        <x:v>4</x:v>
      </x:c>
      <x:c r="O171" t="n">
        <x:f>MAX(0,-M171)</x:f>
        <x:v>0</x:v>
      </x:c>
      <x:c r="P171" t="str">
        <x:v>Ponto registrado — complemento ilustrativo</x:v>
      </x:c>
      <x:c r="Q171" t="str">
        <x:v>Saída da CONFERÊNCIA DE CAIXA; entrada/intervalo simulados</x:v>
      </x:c>
      <x:c r="R171" t="str">
        <x:v>2025-09</x:v>
      </x:c>
    </x:row>
    <x:row r="172" ht="21" customHeight="1">
      <x:c r="A172" s="83" t="n">
        <x:v>45913</x:v>
      </x:c>
      <x:c r="B172" t="str">
        <x:v>sábado</x:v>
      </x:c>
      <x:c r="C172" s="85" t="n">
        <x:v>0.5465277777777777</x:v>
      </x:c>
      <x:c r="D172" s="85"/>
      <x:c r="E172" s="85"/>
      <x:c r="F172" s="85" t="n">
        <x:v>0.70625</x:v>
      </x:c>
      <x:c r="G172" t="str">
        <x:f>TEXT(INT(K172/60),"00")&amp;":"&amp;TEXT(MOD(K172,60),"00")</x:f>
        <x:v>03:50</x:v>
      </x:c>
      <x:c r="H172" t="str">
        <x:f>TEXT(INT(L172/60),"00")&amp;":"&amp;TEXT(MOD(L172,60),"00")</x:f>
        <x:v>04:00</x:v>
      </x:c>
      <x:c r="I172" t="str">
        <x:f>IF(N172&gt;0,"+"&amp;TEXT(INT(N172/60),"00")&amp;":"&amp;TEXT(MOD(N172,60),"00"),"00:00")</x:f>
        <x:v>00:00</x:v>
      </x:c>
      <x:c r="J172" t="str">
        <x:f>IF(O172&gt;0,"-"&amp;TEXT(INT(O172/60),"00")&amp;":"&amp;TEXT(MOD(O172,60),"00"),"00:00")</x:f>
        <x:v>-00:10</x:v>
      </x:c>
      <x:c r="K172" t="n">
        <x:f>ROUND((F172-C172-IF(OR(D172="",E172=""),0,E172-D172))*1440,0)</x:f>
        <x:v>230</x:v>
      </x:c>
      <x:c r="L172" t="n">
        <x:v>240</x:v>
      </x:c>
      <x:c r="M172" t="n">
        <x:f>K172-L172</x:f>
        <x:v>-10</x:v>
      </x:c>
      <x:c r="N172" t="n">
        <x:f>MAX(0,M172)</x:f>
        <x:v>0</x:v>
      </x:c>
      <x:c r="O172" t="n">
        <x:f>MAX(0,-M172)</x:f>
        <x:v>10</x:v>
      </x:c>
      <x:c r="P172" t="str">
        <x:v>Ponto registrado — complemento ilustrativo</x:v>
      </x:c>
      <x:c r="Q172" t="str">
        <x:v>Saída da CONFERÊNCIA DE CAIXA; entrada/intervalo simulados</x:v>
      </x:c>
      <x:c r="R172" t="str">
        <x:v>2025-09</x:v>
      </x:c>
    </x:row>
    <x:row r="173" ht="21" customHeight="1">
      <x:c r="A173" s="83" t="n">
        <x:v>45915</x:v>
      </x:c>
      <x:c r="B173" t="str">
        <x:v>segunda-feira</x:v>
      </x:c>
      <x:c r="C173" s="85" t="n">
        <x:v>0.5465277777777777</x:v>
      </x:c>
      <x:c r="D173" s="85" t="n">
        <x:v>0.6694444444444444</x:v>
      </x:c>
      <x:c r="E173" s="85" t="n">
        <x:v>0.7131944444444445</x:v>
      </x:c>
      <x:c r="F173" s="85" t="n">
        <x:v>0.8909722222222223</x:v>
      </x:c>
      <x:c r="G173" t="str">
        <x:f>TEXT(INT(K173/60),"00")&amp;":"&amp;TEXT(MOD(K173,60),"00")</x:f>
        <x:v>07:13</x:v>
      </x:c>
      <x:c r="H173" t="str">
        <x:f>TEXT(INT(L173/60),"00")&amp;":"&amp;TEXT(MOD(L173,60),"00")</x:f>
        <x:v>07:20</x:v>
      </x:c>
      <x:c r="I173" t="str">
        <x:f>IF(N173&gt;0,"+"&amp;TEXT(INT(N173/60),"00")&amp;":"&amp;TEXT(MOD(N173,60),"00"),"00:00")</x:f>
        <x:v>00:00</x:v>
      </x:c>
      <x:c r="J173" t="str">
        <x:f>IF(O173&gt;0,"-"&amp;TEXT(INT(O173/60),"00")&amp;":"&amp;TEXT(MOD(O173,60),"00"),"00:00")</x:f>
        <x:v>-00:07</x:v>
      </x:c>
      <x:c r="K173" t="n">
        <x:f>ROUND((F173-C173-IF(OR(D173="",E173=""),0,E173-D173))*1440,0)</x:f>
        <x:v>433</x:v>
      </x:c>
      <x:c r="L173" t="n">
        <x:v>440</x:v>
      </x:c>
      <x:c r="M173" t="n">
        <x:f>K173-L173</x:f>
        <x:v>-7</x:v>
      </x:c>
      <x:c r="N173" t="n">
        <x:f>MAX(0,M173)</x:f>
        <x:v>0</x:v>
      </x:c>
      <x:c r="O173" t="n">
        <x:f>MAX(0,-M173)</x:f>
        <x:v>7</x:v>
      </x:c>
      <x:c r="P173" t="str">
        <x:v>Ponto registrado — complemento ilustrativo</x:v>
      </x:c>
      <x:c r="Q173" t="str">
        <x:v>Saída da CONFERÊNCIA DE CAIXA; entrada/intervalo simulados</x:v>
      </x:c>
      <x:c r="R173" t="str">
        <x:v>2025-09</x:v>
      </x:c>
    </x:row>
    <x:row r="174" ht="21" customHeight="1">
      <x:c r="A174" s="83" t="n">
        <x:v>45916</x:v>
      </x:c>
      <x:c r="B174" t="str">
        <x:v>terça-feira</x:v>
      </x:c>
      <x:c r="C174" s="85" t="n">
        <x:v>0.5423611111111111</x:v>
      </x:c>
      <x:c r="D174" s="85" t="n">
        <x:v>0.6791666666666667</x:v>
      </x:c>
      <x:c r="E174" s="85" t="n">
        <x:v>0.7236111111111111</x:v>
      </x:c>
      <x:c r="F174" s="85" t="n">
        <x:v>0.8909722222222223</x:v>
      </x:c>
      <x:c r="G174" t="str">
        <x:f>TEXT(INT(K174/60),"00")&amp;":"&amp;TEXT(MOD(K174,60),"00")</x:f>
        <x:v>07:18</x:v>
      </x:c>
      <x:c r="H174" t="str">
        <x:f>TEXT(INT(L174/60),"00")&amp;":"&amp;TEXT(MOD(L174,60),"00")</x:f>
        <x:v>07:20</x:v>
      </x:c>
      <x:c r="I174" t="str">
        <x:f>IF(N174&gt;0,"+"&amp;TEXT(INT(N174/60),"00")&amp;":"&amp;TEXT(MOD(N174,60),"00"),"00:00")</x:f>
        <x:v>00:00</x:v>
      </x:c>
      <x:c r="J174" t="str">
        <x:f>IF(O174&gt;0,"-"&amp;TEXT(INT(O174/60),"00")&amp;":"&amp;TEXT(MOD(O174,60),"00"),"00:00")</x:f>
        <x:v>-00:02</x:v>
      </x:c>
      <x:c r="K174" t="n">
        <x:f>ROUND((F174-C174-IF(OR(D174="",E174=""),0,E174-D174))*1440,0)</x:f>
        <x:v>438</x:v>
      </x:c>
      <x:c r="L174" t="n">
        <x:v>440</x:v>
      </x:c>
      <x:c r="M174" t="n">
        <x:f>K174-L174</x:f>
        <x:v>-2</x:v>
      </x:c>
      <x:c r="N174" t="n">
        <x:f>MAX(0,M174)</x:f>
        <x:v>0</x:v>
      </x:c>
      <x:c r="O174" t="n">
        <x:f>MAX(0,-M174)</x:f>
        <x:v>2</x:v>
      </x:c>
      <x:c r="P174" t="str">
        <x:v>Ponto registrado — complemento ilustrativo</x:v>
      </x:c>
      <x:c r="Q174" t="str">
        <x:v>Saída da CONFERÊNCIA DE CAIXA; entrada/intervalo simulados</x:v>
      </x:c>
      <x:c r="R174" t="str">
        <x:v>2025-09</x:v>
      </x:c>
    </x:row>
    <x:row r="175" ht="21" customHeight="1">
      <x:c r="A175" s="83" t="n">
        <x:v>45917</x:v>
      </x:c>
      <x:c r="B175" t="str">
        <x:v>quarta-feira</x:v>
      </x:c>
      <x:c r="C175" s="85" t="n">
        <x:v>0.5458333333333333</x:v>
      </x:c>
      <x:c r="D175" s="85" t="n">
        <x:v>0.6736111111111112</x:v>
      </x:c>
      <x:c r="E175" s="85" t="n">
        <x:v>0.7159722222222222</x:v>
      </x:c>
      <x:c r="F175" s="85" t="n">
        <x:v>0.8902777777777777</x:v>
      </x:c>
      <x:c r="G175" t="str">
        <x:f>TEXT(INT(K175/60),"00")&amp;":"&amp;TEXT(MOD(K175,60),"00")</x:f>
        <x:v>07:15</x:v>
      </x:c>
      <x:c r="H175" t="str">
        <x:f>TEXT(INT(L175/60),"00")&amp;":"&amp;TEXT(MOD(L175,60),"00")</x:f>
        <x:v>07:20</x:v>
      </x:c>
      <x:c r="I175" t="str">
        <x:f>IF(N175&gt;0,"+"&amp;TEXT(INT(N175/60),"00")&amp;":"&amp;TEXT(MOD(N175,60),"00"),"00:00")</x:f>
        <x:v>00:00</x:v>
      </x:c>
      <x:c r="J175" t="str">
        <x:f>IF(O175&gt;0,"-"&amp;TEXT(INT(O175/60),"00")&amp;":"&amp;TEXT(MOD(O175,60),"00"),"00:00")</x:f>
        <x:v>-00:05</x:v>
      </x:c>
      <x:c r="K175" t="n">
        <x:f>ROUND((F175-C175-IF(OR(D175="",E175=""),0,E175-D175))*1440,0)</x:f>
        <x:v>435</x:v>
      </x:c>
      <x:c r="L175" t="n">
        <x:v>440</x:v>
      </x:c>
      <x:c r="M175" t="n">
        <x:f>K175-L175</x:f>
        <x:v>-5</x:v>
      </x:c>
      <x:c r="N175" t="n">
        <x:f>MAX(0,M175)</x:f>
        <x:v>0</x:v>
      </x:c>
      <x:c r="O175" t="n">
        <x:f>MAX(0,-M175)</x:f>
        <x:v>5</x:v>
      </x:c>
      <x:c r="P175" t="str">
        <x:v>Ponto registrado — jornada revisada</x:v>
      </x:c>
      <x:c r="Q175" t="str">
        <x:v>Horários da planilha de jornadas revisada</x:v>
      </x:c>
      <x:c r="R175" t="str">
        <x:v>2025-09</x:v>
      </x:c>
    </x:row>
    <x:row r="176" ht="21" customHeight="1">
      <x:c r="A176" s="83" t="n">
        <x:v>45918</x:v>
      </x:c>
      <x:c r="B176" t="str">
        <x:v>quinta-feira</x:v>
      </x:c>
      <x:c r="C176" s="85" t="n">
        <x:v>0.5451388888888888</x:v>
      </x:c>
      <x:c r="D176" s="85" t="n">
        <x:v>0.6756944444444445</x:v>
      </x:c>
      <x:c r="E176" s="85" t="n">
        <x:v>0.7145833333333333</x:v>
      </x:c>
      <x:c r="F176" s="85" t="n">
        <x:v>0.8888888888888888</x:v>
      </x:c>
      <x:c r="G176" t="str">
        <x:f>TEXT(INT(K176/60),"00")&amp;":"&amp;TEXT(MOD(K176,60),"00")</x:f>
        <x:v>07:19</x:v>
      </x:c>
      <x:c r="H176" t="str">
        <x:f>TEXT(INT(L176/60),"00")&amp;":"&amp;TEXT(MOD(L176,60),"00")</x:f>
        <x:v>07:20</x:v>
      </x:c>
      <x:c r="I176" t="str">
        <x:f>IF(N176&gt;0,"+"&amp;TEXT(INT(N176/60),"00")&amp;":"&amp;TEXT(MOD(N176,60),"00"),"00:00")</x:f>
        <x:v>00:00</x:v>
      </x:c>
      <x:c r="J176" t="str">
        <x:f>IF(O176&gt;0,"-"&amp;TEXT(INT(O176/60),"00")&amp;":"&amp;TEXT(MOD(O176,60),"00"),"00:00")</x:f>
        <x:v>-00:01</x:v>
      </x:c>
      <x:c r="K176" t="n">
        <x:f>ROUND((F176-C176-IF(OR(D176="",E176=""),0,E176-D176))*1440,0)</x:f>
        <x:v>439</x:v>
      </x:c>
      <x:c r="L176" t="n">
        <x:v>440</x:v>
      </x:c>
      <x:c r="M176" t="n">
        <x:f>K176-L176</x:f>
        <x:v>-1</x:v>
      </x:c>
      <x:c r="N176" t="n">
        <x:f>MAX(0,M176)</x:f>
        <x:v>0</x:v>
      </x:c>
      <x:c r="O176" t="n">
        <x:f>MAX(0,-M176)</x:f>
        <x:v>1</x:v>
      </x:c>
      <x:c r="P176" t="str">
        <x:v>Ponto registrado — complemento ilustrativo</x:v>
      </x:c>
      <x:c r="Q176" t="str">
        <x:v>Saída da CONFERÊNCIA DE CAIXA; entrada/intervalo simulados</x:v>
      </x:c>
      <x:c r="R176" t="str">
        <x:v>2025-09</x:v>
      </x:c>
    </x:row>
    <x:row r="177" ht="21" customHeight="1">
      <x:c r="A177" s="83" t="n">
        <x:v>45919</x:v>
      </x:c>
      <x:c r="B177" t="str">
        <x:v>sexta-feira</x:v>
      </x:c>
      <x:c r="C177" s="85" t="n">
        <x:v>0.5465277777777777</x:v>
      </x:c>
      <x:c r="D177" s="85" t="n">
        <x:v>0.6791666666666667</x:v>
      </x:c>
      <x:c r="E177" s="85" t="n">
        <x:v>0.7194444444444444</x:v>
      </x:c>
      <x:c r="F177" s="85" t="n">
        <x:v>0.8888888888888888</x:v>
      </x:c>
      <x:c r="G177" t="str">
        <x:f>TEXT(INT(K177/60),"00")&amp;":"&amp;TEXT(MOD(K177,60),"00")</x:f>
        <x:v>07:15</x:v>
      </x:c>
      <x:c r="H177" t="str">
        <x:f>TEXT(INT(L177/60),"00")&amp;":"&amp;TEXT(MOD(L177,60),"00")</x:f>
        <x:v>07:20</x:v>
      </x:c>
      <x:c r="I177" t="str">
        <x:f>IF(N177&gt;0,"+"&amp;TEXT(INT(N177/60),"00")&amp;":"&amp;TEXT(MOD(N177,60),"00"),"00:00")</x:f>
        <x:v>00:00</x:v>
      </x:c>
      <x:c r="J177" t="str">
        <x:f>IF(O177&gt;0,"-"&amp;TEXT(INT(O177/60),"00")&amp;":"&amp;TEXT(MOD(O177,60),"00"),"00:00")</x:f>
        <x:v>-00:05</x:v>
      </x:c>
      <x:c r="K177" t="n">
        <x:f>ROUND((F177-C177-IF(OR(D177="",E177=""),0,E177-D177))*1440,0)</x:f>
        <x:v>435</x:v>
      </x:c>
      <x:c r="L177" t="n">
        <x:v>440</x:v>
      </x:c>
      <x:c r="M177" t="n">
        <x:f>K177-L177</x:f>
        <x:v>-5</x:v>
      </x:c>
      <x:c r="N177" t="n">
        <x:f>MAX(0,M177)</x:f>
        <x:v>0</x:v>
      </x:c>
      <x:c r="O177" t="n">
        <x:f>MAX(0,-M177)</x:f>
        <x:v>5</x:v>
      </x:c>
      <x:c r="P177" t="str">
        <x:v>Ponto registrado — complemento ilustrativo</x:v>
      </x:c>
      <x:c r="Q177" t="str">
        <x:v>Saída da CONFERÊNCIA DE CAIXA; entrada/intervalo simulados</x:v>
      </x:c>
      <x:c r="R177" t="str">
        <x:v>2025-09</x:v>
      </x:c>
    </x:row>
    <x:row r="178" ht="21" customHeight="1">
      <x:c r="A178" s="83" t="n">
        <x:v>45920</x:v>
      </x:c>
      <x:c r="B178" t="str">
        <x:v>sábado</x:v>
      </x:c>
      <x:c r="C178" s="85" t="n">
        <x:v>0.5402777777777777</x:v>
      </x:c>
      <x:c r="D178" s="85" t="n">
        <x:v>0.6701388888888888</x:v>
      </x:c>
      <x:c r="E178" s="85" t="n">
        <x:v>0.6805555555555556</x:v>
      </x:c>
      <x:c r="F178" s="85" t="n">
        <x:v>0.7111111111111111</x:v>
      </x:c>
      <x:c r="G178" t="str">
        <x:f>TEXT(INT(K178/60),"00")&amp;":"&amp;TEXT(MOD(K178,60),"00")</x:f>
        <x:v>03:51</x:v>
      </x:c>
      <x:c r="H178" t="str">
        <x:f>TEXT(INT(L178/60),"00")&amp;":"&amp;TEXT(MOD(L178,60),"00")</x:f>
        <x:v>04:00</x:v>
      </x:c>
      <x:c r="I178" t="str">
        <x:f>IF(N178&gt;0,"+"&amp;TEXT(INT(N178/60),"00")&amp;":"&amp;TEXT(MOD(N178,60),"00"),"00:00")</x:f>
        <x:v>00:00</x:v>
      </x:c>
      <x:c r="J178" t="str">
        <x:f>IF(O178&gt;0,"-"&amp;TEXT(INT(O178/60),"00")&amp;":"&amp;TEXT(MOD(O178,60),"00"),"00:00")</x:f>
        <x:v>-00:09</x:v>
      </x:c>
      <x:c r="K178" t="n">
        <x:f>ROUND((F178-C178-IF(OR(D178="",E178=""),0,E178-D178))*1440,0)</x:f>
        <x:v>231</x:v>
      </x:c>
      <x:c r="L178" t="n">
        <x:v>240</x:v>
      </x:c>
      <x:c r="M178" t="n">
        <x:f>K178-L178</x:f>
        <x:v>-9</x:v>
      </x:c>
      <x:c r="N178" t="n">
        <x:f>MAX(0,M178)</x:f>
        <x:v>0</x:v>
      </x:c>
      <x:c r="O178" t="n">
        <x:f>MAX(0,-M178)</x:f>
        <x:v>9</x:v>
      </x:c>
      <x:c r="P178" t="str">
        <x:v>Ponto registrado — complemento ilustrativo</x:v>
      </x:c>
      <x:c r="Q178" t="str">
        <x:v>Saída da CONFERÊNCIA DE CAIXA; entrada/intervalo simulados</x:v>
      </x:c>
      <x:c r="R178" t="str">
        <x:v>2025-09</x:v>
      </x:c>
    </x:row>
    <x:row r="179" ht="21" customHeight="1">
      <x:c r="A179" s="83" t="n">
        <x:v>45922</x:v>
      </x:c>
      <x:c r="B179" t="str">
        <x:v>segunda-feira</x:v>
      </x:c>
      <x:c r="C179" s="85" t="n">
        <x:v>0.5388888888888889</x:v>
      </x:c>
      <x:c r="D179" s="85" t="n">
        <x:v>0.68125</x:v>
      </x:c>
      <x:c r="E179" s="85" t="n">
        <x:v>0.7222222222222222</x:v>
      </x:c>
      <x:c r="F179" s="85" t="n">
        <x:v>0.8881944444444444</x:v>
      </x:c>
      <x:c r="G179" t="str">
        <x:f>TEXT(INT(K179/60),"00")&amp;":"&amp;TEXT(MOD(K179,60),"00")</x:f>
        <x:v>07:24</x:v>
      </x:c>
      <x:c r="H179" t="str">
        <x:f>TEXT(INT(L179/60),"00")&amp;":"&amp;TEXT(MOD(L179,60),"00")</x:f>
        <x:v>07:20</x:v>
      </x:c>
      <x:c r="I179" t="str">
        <x:f>IF(N179&gt;0,"+"&amp;TEXT(INT(N179/60),"00")&amp;":"&amp;TEXT(MOD(N179,60),"00"),"00:00")</x:f>
        <x:v>+00:04</x:v>
      </x:c>
      <x:c r="J179" t="str">
        <x:f>IF(O179&gt;0,"-"&amp;TEXT(INT(O179/60),"00")&amp;":"&amp;TEXT(MOD(O179,60),"00"),"00:00")</x:f>
        <x:v>00:00</x:v>
      </x:c>
      <x:c r="K179" t="n">
        <x:f>ROUND((F179-C179-IF(OR(D179="",E179=""),0,E179-D179))*1440,0)</x:f>
        <x:v>444</x:v>
      </x:c>
      <x:c r="L179" t="n">
        <x:v>440</x:v>
      </x:c>
      <x:c r="M179" t="n">
        <x:f>K179-L179</x:f>
        <x:v>4</x:v>
      </x:c>
      <x:c r="N179" t="n">
        <x:f>MAX(0,M179)</x:f>
        <x:v>4</x:v>
      </x:c>
      <x:c r="O179" t="n">
        <x:f>MAX(0,-M179)</x:f>
        <x:v>0</x:v>
      </x:c>
      <x:c r="P179" t="str">
        <x:v>Ponto registrado — complemento ilustrativo</x:v>
      </x:c>
      <x:c r="Q179" t="str">
        <x:v>Saída da CONFERÊNCIA DE CAIXA; entrada/intervalo simulados</x:v>
      </x:c>
      <x:c r="R179" t="str">
        <x:v>2025-09</x:v>
      </x:c>
    </x:row>
    <x:row r="180" ht="21" customHeight="1">
      <x:c r="A180" s="83" t="n">
        <x:v>45923</x:v>
      </x:c>
      <x:c r="B180" t="str">
        <x:v>terça-feira</x:v>
      </x:c>
      <x:c r="C180" s="85" t="n">
        <x:v>0.5402777777777777</x:v>
      </x:c>
      <x:c r="D180" s="85" t="n">
        <x:v>0.6666666666666666</x:v>
      </x:c>
      <x:c r="E180" s="85" t="n">
        <x:v>0.7111111111111111</x:v>
      </x:c>
      <x:c r="F180" s="85" t="n">
        <x:v>0.8888888888888888</x:v>
      </x:c>
      <x:c r="G180" t="str">
        <x:f>TEXT(INT(K180/60),"00")&amp;":"&amp;TEXT(MOD(K180,60),"00")</x:f>
        <x:v>07:18</x:v>
      </x:c>
      <x:c r="H180" t="str">
        <x:f>TEXT(INT(L180/60),"00")&amp;":"&amp;TEXT(MOD(L180,60),"00")</x:f>
        <x:v>07:20</x:v>
      </x:c>
      <x:c r="I180" t="str">
        <x:f>IF(N180&gt;0,"+"&amp;TEXT(INT(N180/60),"00")&amp;":"&amp;TEXT(MOD(N180,60),"00"),"00:00")</x:f>
        <x:v>00:00</x:v>
      </x:c>
      <x:c r="J180" t="str">
        <x:f>IF(O180&gt;0,"-"&amp;TEXT(INT(O180/60),"00")&amp;":"&amp;TEXT(MOD(O180,60),"00"),"00:00")</x:f>
        <x:v>-00:02</x:v>
      </x:c>
      <x:c r="K180" t="n">
        <x:f>ROUND((F180-C180-IF(OR(D180="",E180=""),0,E180-D180))*1440,0)</x:f>
        <x:v>438</x:v>
      </x:c>
      <x:c r="L180" t="n">
        <x:v>440</x:v>
      </x:c>
      <x:c r="M180" t="n">
        <x:f>K180-L180</x:f>
        <x:v>-2</x:v>
      </x:c>
      <x:c r="N180" t="n">
        <x:f>MAX(0,M180)</x:f>
        <x:v>0</x:v>
      </x:c>
      <x:c r="O180" t="n">
        <x:f>MAX(0,-M180)</x:f>
        <x:v>2</x:v>
      </x:c>
      <x:c r="P180" t="str">
        <x:v>Ponto registrado — complemento ilustrativo</x:v>
      </x:c>
      <x:c r="Q180" t="str">
        <x:v>Saída da CONFERÊNCIA DE CAIXA; entrada/intervalo simulados</x:v>
      </x:c>
      <x:c r="R180" t="str">
        <x:v>2025-09</x:v>
      </x:c>
    </x:row>
    <x:row r="181" ht="21" customHeight="1">
      <x:c r="A181" s="83" t="n">
        <x:v>45924</x:v>
      </x:c>
      <x:c r="B181" t="str">
        <x:v>quarta-feira</x:v>
      </x:c>
      <x:c r="C181" s="85" t="n">
        <x:v>0.5458333333333333</x:v>
      </x:c>
      <x:c r="D181" s="85" t="n">
        <x:v>0.68125</x:v>
      </x:c>
      <x:c r="E181" s="85" t="n">
        <x:v>0.7236111111111111</x:v>
      </x:c>
      <x:c r="F181" s="85" t="n">
        <x:v>0.8881944444444444</x:v>
      </x:c>
      <x:c r="G181" t="str">
        <x:f>TEXT(INT(K181/60),"00")&amp;":"&amp;TEXT(MOD(K181,60),"00")</x:f>
        <x:v>07:12</x:v>
      </x:c>
      <x:c r="H181" t="str">
        <x:f>TEXT(INT(L181/60),"00")&amp;":"&amp;TEXT(MOD(L181,60),"00")</x:f>
        <x:v>07:20</x:v>
      </x:c>
      <x:c r="I181" t="str">
        <x:f>IF(N181&gt;0,"+"&amp;TEXT(INT(N181/60),"00")&amp;":"&amp;TEXT(MOD(N181,60),"00"),"00:00")</x:f>
        <x:v>00:00</x:v>
      </x:c>
      <x:c r="J181" t="str">
        <x:f>IF(O181&gt;0,"-"&amp;TEXT(INT(O181/60),"00")&amp;":"&amp;TEXT(MOD(O181,60),"00"),"00:00")</x:f>
        <x:v>-00:08</x:v>
      </x:c>
      <x:c r="K181" t="n">
        <x:f>ROUND((F181-C181-IF(OR(D181="",E181=""),0,E181-D181))*1440,0)</x:f>
        <x:v>432</x:v>
      </x:c>
      <x:c r="L181" t="n">
        <x:v>440</x:v>
      </x:c>
      <x:c r="M181" t="n">
        <x:f>K181-L181</x:f>
        <x:v>-8</x:v>
      </x:c>
      <x:c r="N181" t="n">
        <x:f>MAX(0,M181)</x:f>
        <x:v>0</x:v>
      </x:c>
      <x:c r="O181" t="n">
        <x:f>MAX(0,-M181)</x:f>
        <x:v>8</x:v>
      </x:c>
      <x:c r="P181" t="str">
        <x:v>Ponto registrado — complemento ilustrativo</x:v>
      </x:c>
      <x:c r="Q181" t="str">
        <x:v>Saída da CONFERÊNCIA DE CAIXA; entrada/intervalo simulados</x:v>
      </x:c>
      <x:c r="R181" t="str">
        <x:v>2025-09</x:v>
      </x:c>
    </x:row>
    <x:row r="182" ht="21" customHeight="1">
      <x:c r="A182" s="83" t="n">
        <x:v>45925</x:v>
      </x:c>
      <x:c r="B182" t="str">
        <x:v>quinta-feira</x:v>
      </x:c>
      <x:c r="C182" s="85" t="n">
        <x:v>0.5430555555555555</x:v>
      </x:c>
      <x:c r="D182" s="85" t="n">
        <x:v>0.6736111111111112</x:v>
      </x:c>
      <x:c r="E182" s="85" t="n">
        <x:v>0.7125</x:v>
      </x:c>
      <x:c r="F182" s="85" t="n">
        <x:v>0.8902777777777777</x:v>
      </x:c>
      <x:c r="G182" t="str">
        <x:f>TEXT(INT(K182/60),"00")&amp;":"&amp;TEXT(MOD(K182,60),"00")</x:f>
        <x:v>07:24</x:v>
      </x:c>
      <x:c r="H182" t="str">
        <x:f>TEXT(INT(L182/60),"00")&amp;":"&amp;TEXT(MOD(L182,60),"00")</x:f>
        <x:v>07:20</x:v>
      </x:c>
      <x:c r="I182" t="str">
        <x:f>IF(N182&gt;0,"+"&amp;TEXT(INT(N182/60),"00")&amp;":"&amp;TEXT(MOD(N182,60),"00"),"00:00")</x:f>
        <x:v>+00:04</x:v>
      </x:c>
      <x:c r="J182" t="str">
        <x:f>IF(O182&gt;0,"-"&amp;TEXT(INT(O182/60),"00")&amp;":"&amp;TEXT(MOD(O182,60),"00"),"00:00")</x:f>
        <x:v>00:00</x:v>
      </x:c>
      <x:c r="K182" t="n">
        <x:f>ROUND((F182-C182-IF(OR(D182="",E182=""),0,E182-D182))*1440,0)</x:f>
        <x:v>444</x:v>
      </x:c>
      <x:c r="L182" t="n">
        <x:v>440</x:v>
      </x:c>
      <x:c r="M182" t="n">
        <x:f>K182-L182</x:f>
        <x:v>4</x:v>
      </x:c>
      <x:c r="N182" t="n">
        <x:f>MAX(0,M182)</x:f>
        <x:v>4</x:v>
      </x:c>
      <x:c r="O182" t="n">
        <x:f>MAX(0,-M182)</x:f>
        <x:v>0</x:v>
      </x:c>
      <x:c r="P182" t="str">
        <x:v>Ponto registrado — complemento ilustrativo</x:v>
      </x:c>
      <x:c r="Q182" t="str">
        <x:v>Saída da CONFERÊNCIA DE CAIXA; entrada/intervalo simulados</x:v>
      </x:c>
      <x:c r="R182" t="str">
        <x:v>2025-09</x:v>
      </x:c>
    </x:row>
    <x:row r="183" ht="21" customHeight="1">
      <x:c r="A183" s="83" t="n">
        <x:v>45926</x:v>
      </x:c>
      <x:c r="B183" t="str">
        <x:v>sexta-feira</x:v>
      </x:c>
      <x:c r="C183" s="85" t="n">
        <x:v>0.5395833333333333</x:v>
      </x:c>
      <x:c r="D183" s="85" t="n">
        <x:v>0.6791666666666667</x:v>
      </x:c>
      <x:c r="E183" s="85" t="n">
        <x:v>0.7201388888888889</x:v>
      </x:c>
      <x:c r="F183" s="85" t="n">
        <x:v>0.8868055555555555</x:v>
      </x:c>
      <x:c r="G183" t="str">
        <x:f>TEXT(INT(K183/60),"00")&amp;":"&amp;TEXT(MOD(K183,60),"00")</x:f>
        <x:v>07:21</x:v>
      </x:c>
      <x:c r="H183" t="str">
        <x:f>TEXT(INT(L183/60),"00")&amp;":"&amp;TEXT(MOD(L183,60),"00")</x:f>
        <x:v>07:20</x:v>
      </x:c>
      <x:c r="I183" t="str">
        <x:f>IF(N183&gt;0,"+"&amp;TEXT(INT(N183/60),"00")&amp;":"&amp;TEXT(MOD(N183,60),"00"),"00:00")</x:f>
        <x:v>+00:01</x:v>
      </x:c>
      <x:c r="J183" t="str">
        <x:f>IF(O183&gt;0,"-"&amp;TEXT(INT(O183/60),"00")&amp;":"&amp;TEXT(MOD(O183,60),"00"),"00:00")</x:f>
        <x:v>00:00</x:v>
      </x:c>
      <x:c r="K183" t="n">
        <x:f>ROUND((F183-C183-IF(OR(D183="",E183=""),0,E183-D183))*1440,0)</x:f>
        <x:v>441</x:v>
      </x:c>
      <x:c r="L183" t="n">
        <x:v>440</x:v>
      </x:c>
      <x:c r="M183" t="n">
        <x:f>K183-L183</x:f>
        <x:v>1</x:v>
      </x:c>
      <x:c r="N183" t="n">
        <x:f>MAX(0,M183)</x:f>
        <x:v>1</x:v>
      </x:c>
      <x:c r="O183" t="n">
        <x:f>MAX(0,-M183)</x:f>
        <x:v>0</x:v>
      </x:c>
      <x:c r="P183" t="str">
        <x:v>Ponto registrado — complemento ilustrativo</x:v>
      </x:c>
      <x:c r="Q183" t="str">
        <x:v>Saída da CONFERÊNCIA DE CAIXA; entrada/intervalo simulados</x:v>
      </x:c>
      <x:c r="R183" t="str">
        <x:v>2025-09</x:v>
      </x:c>
    </x:row>
    <x:row r="184" ht="21" customHeight="1">
      <x:c r="A184" s="83" t="n">
        <x:v>45927</x:v>
      </x:c>
      <x:c r="B184" t="str">
        <x:v>sábado</x:v>
      </x:c>
      <x:c r="C184" s="85" t="n">
        <x:v>0.54375</x:v>
      </x:c>
      <x:c r="D184" s="85" t="n">
        <x:v>0.6736111111111112</x:v>
      </x:c>
      <x:c r="E184" s="85" t="n">
        <x:v>0.6840277777777778</x:v>
      </x:c>
      <x:c r="F184" s="85" t="n">
        <x:v>0.7097222222222223</x:v>
      </x:c>
      <x:c r="G184" t="str">
        <x:f>TEXT(INT(K184/60),"00")&amp;":"&amp;TEXT(MOD(K184,60),"00")</x:f>
        <x:v>03:44</x:v>
      </x:c>
      <x:c r="H184" t="str">
        <x:f>TEXT(INT(L184/60),"00")&amp;":"&amp;TEXT(MOD(L184,60),"00")</x:f>
        <x:v>04:00</x:v>
      </x:c>
      <x:c r="I184" t="str">
        <x:f>IF(N184&gt;0,"+"&amp;TEXT(INT(N184/60),"00")&amp;":"&amp;TEXT(MOD(N184,60),"00"),"00:00")</x:f>
        <x:v>00:00</x:v>
      </x:c>
      <x:c r="J184" t="str">
        <x:f>IF(O184&gt;0,"-"&amp;TEXT(INT(O184/60),"00")&amp;":"&amp;TEXT(MOD(O184,60),"00"),"00:00")</x:f>
        <x:v>-00:16</x:v>
      </x:c>
      <x:c r="K184" t="n">
        <x:f>ROUND((F184-C184-IF(OR(D184="",E184=""),0,E184-D184))*1440,0)</x:f>
        <x:v>224</x:v>
      </x:c>
      <x:c r="L184" t="n">
        <x:v>240</x:v>
      </x:c>
      <x:c r="M184" t="n">
        <x:f>K184-L184</x:f>
        <x:v>-16</x:v>
      </x:c>
      <x:c r="N184" t="n">
        <x:f>MAX(0,M184)</x:f>
        <x:v>0</x:v>
      </x:c>
      <x:c r="O184" t="n">
        <x:f>MAX(0,-M184)</x:f>
        <x:v>16</x:v>
      </x:c>
      <x:c r="P184" t="str">
        <x:v>Ponto registrado — complemento ilustrativo</x:v>
      </x:c>
      <x:c r="Q184" t="str">
        <x:v>Saída da CONFERÊNCIA DE CAIXA; entrada/intervalo simulados</x:v>
      </x:c>
      <x:c r="R184" t="str">
        <x:v>2025-09</x:v>
      </x:c>
    </x:row>
    <x:row r="185" ht="21" customHeight="1">
      <x:c r="A185" s="83" t="n">
        <x:v>45929</x:v>
      </x:c>
      <x:c r="B185" t="str">
        <x:v>segunda-feira</x:v>
      </x:c>
      <x:c r="C185" s="85" t="n">
        <x:v>0.5395833333333333</x:v>
      </x:c>
      <x:c r="D185" s="85" t="n">
        <x:v>0.6777777777777778</x:v>
      </x:c>
      <x:c r="E185" s="85" t="n">
        <x:v>0.7166666666666667</x:v>
      </x:c>
      <x:c r="F185" s="85" t="n">
        <x:v>0.8902777777777777</x:v>
      </x:c>
      <x:c r="G185" t="str">
        <x:f>TEXT(INT(K185/60),"00")&amp;":"&amp;TEXT(MOD(K185,60),"00")</x:f>
        <x:v>07:29</x:v>
      </x:c>
      <x:c r="H185" t="str">
        <x:f>TEXT(INT(L185/60),"00")&amp;":"&amp;TEXT(MOD(L185,60),"00")</x:f>
        <x:v>07:20</x:v>
      </x:c>
      <x:c r="I185" t="str">
        <x:f>IF(N185&gt;0,"+"&amp;TEXT(INT(N185/60),"00")&amp;":"&amp;TEXT(MOD(N185,60),"00"),"00:00")</x:f>
        <x:v>+00:09</x:v>
      </x:c>
      <x:c r="J185" t="str">
        <x:f>IF(O185&gt;0,"-"&amp;TEXT(INT(O185/60),"00")&amp;":"&amp;TEXT(MOD(O185,60),"00"),"00:00")</x:f>
        <x:v>00:00</x:v>
      </x:c>
      <x:c r="K185" t="n">
        <x:f>ROUND((F185-C185-IF(OR(D185="",E185=""),0,E185-D185))*1440,0)</x:f>
        <x:v>449</x:v>
      </x:c>
      <x:c r="L185" t="n">
        <x:v>440</x:v>
      </x:c>
      <x:c r="M185" t="n">
        <x:f>K185-L185</x:f>
        <x:v>9</x:v>
      </x:c>
      <x:c r="N185" t="n">
        <x:f>MAX(0,M185)</x:f>
        <x:v>9</x:v>
      </x:c>
      <x:c r="O185" t="n">
        <x:f>MAX(0,-M185)</x:f>
        <x:v>0</x:v>
      </x:c>
      <x:c r="P185" t="str">
        <x:v>Ponto registrado — complemento ilustrativo</x:v>
      </x:c>
      <x:c r="Q185" t="str">
        <x:v>Saída da CONFERÊNCIA DE CAIXA; entrada/intervalo simulados</x:v>
      </x:c>
      <x:c r="R185" t="str">
        <x:v>2025-09</x:v>
      </x:c>
    </x:row>
    <x:row r="186" ht="21" customHeight="1">
      <x:c r="A186" s="83" t="n">
        <x:v>45930</x:v>
      </x:c>
      <x:c r="B186" t="str">
        <x:v>terça-feira</x:v>
      </x:c>
      <x:c r="C186" s="85" t="n">
        <x:v>0.5472222222222223</x:v>
      </x:c>
      <x:c r="D186" s="85" t="n">
        <x:v>0.6784722222222223</x:v>
      </x:c>
      <x:c r="E186" s="85" t="n">
        <x:v>0.7222222222222222</x:v>
      </x:c>
      <x:c r="F186" s="85" t="n">
        <x:v>0.8840277777777777</x:v>
      </x:c>
      <x:c r="G186" t="str">
        <x:f>TEXT(INT(K186/60),"00")&amp;":"&amp;TEXT(MOD(K186,60),"00")</x:f>
        <x:v>07:02</x:v>
      </x:c>
      <x:c r="H186" t="str">
        <x:f>TEXT(INT(L186/60),"00")&amp;":"&amp;TEXT(MOD(L186,60),"00")</x:f>
        <x:v>07:20</x:v>
      </x:c>
      <x:c r="I186" t="str">
        <x:f>IF(N186&gt;0,"+"&amp;TEXT(INT(N186/60),"00")&amp;":"&amp;TEXT(MOD(N186,60),"00"),"00:00")</x:f>
        <x:v>00:00</x:v>
      </x:c>
      <x:c r="J186" t="str">
        <x:f>IF(O186&gt;0,"-"&amp;TEXT(INT(O186/60),"00")&amp;":"&amp;TEXT(MOD(O186,60),"00"),"00:00")</x:f>
        <x:v>-00:18</x:v>
      </x:c>
      <x:c r="K186" t="n">
        <x:f>ROUND((F186-C186-IF(OR(D186="",E186=""),0,E186-D186))*1440,0)</x:f>
        <x:v>422</x:v>
      </x:c>
      <x:c r="L186" t="n">
        <x:v>440</x:v>
      </x:c>
      <x:c r="M186" t="n">
        <x:f>K186-L186</x:f>
        <x:v>-18</x:v>
      </x:c>
      <x:c r="N186" t="n">
        <x:f>MAX(0,M186)</x:f>
        <x:v>0</x:v>
      </x:c>
      <x:c r="O186" t="n">
        <x:f>MAX(0,-M186)</x:f>
        <x:v>18</x:v>
      </x:c>
      <x:c r="P186" t="str">
        <x:v>Ponto registrado — complemento ilustrativo</x:v>
      </x:c>
      <x:c r="Q186" t="str">
        <x:v>Saída da CONFERÊNCIA DE CAIXA; entrada/intervalo simulados</x:v>
      </x:c>
      <x:c r="R186" t="str">
        <x:v>2025-09</x:v>
      </x:c>
    </x:row>
    <x:row r="187" ht="21" customHeight="1">
      <x:c r="A187" s="83" t="n">
        <x:v>45931</x:v>
      </x:c>
      <x:c r="B187" t="str">
        <x:v>quarta-feira</x:v>
      </x:c>
      <x:c r="C187" s="85" t="n">
        <x:v>0.5388888888888889</x:v>
      </x:c>
      <x:c r="D187" s="85" t="n">
        <x:v>0.6715277777777777</x:v>
      </x:c>
      <x:c r="E187" s="85" t="n">
        <x:v>0.7118055555555556</x:v>
      </x:c>
      <x:c r="F187" s="85" t="n">
        <x:v>0.8881944444444444</x:v>
      </x:c>
      <x:c r="G187" t="str">
        <x:f>TEXT(INT(K187/60),"00")&amp;":"&amp;TEXT(MOD(K187,60),"00")</x:f>
        <x:v>07:25</x:v>
      </x:c>
      <x:c r="H187" t="str">
        <x:f>TEXT(INT(L187/60),"00")&amp;":"&amp;TEXT(MOD(L187,60),"00")</x:f>
        <x:v>07:20</x:v>
      </x:c>
      <x:c r="I187" t="str">
        <x:f>IF(N187&gt;0,"+"&amp;TEXT(INT(N187/60),"00")&amp;":"&amp;TEXT(MOD(N187,60),"00"),"00:00")</x:f>
        <x:v>+00:05</x:v>
      </x:c>
      <x:c r="J187" t="str">
        <x:f>IF(O187&gt;0,"-"&amp;TEXT(INT(O187/60),"00")&amp;":"&amp;TEXT(MOD(O187,60),"00"),"00:00")</x:f>
        <x:v>00:00</x:v>
      </x:c>
      <x:c r="K187" t="n">
        <x:f>ROUND((F187-C187-IF(OR(D187="",E187=""),0,E187-D187))*1440,0)</x:f>
        <x:v>445</x:v>
      </x:c>
      <x:c r="L187" t="n">
        <x:v>440</x:v>
      </x:c>
      <x:c r="M187" t="n">
        <x:f>K187-L187</x:f>
        <x:v>5</x:v>
      </x:c>
      <x:c r="N187" t="n">
        <x:f>MAX(0,M187)</x:f>
        <x:v>5</x:v>
      </x:c>
      <x:c r="O187" t="n">
        <x:f>MAX(0,-M187)</x:f>
        <x:v>0</x:v>
      </x:c>
      <x:c r="P187" t="str">
        <x:v>Ponto registrado — complemento ilustrativo</x:v>
      </x:c>
      <x:c r="Q187" t="str">
        <x:v>Saída da CONFERÊNCIA DE CAIXA; entrada/intervalo simulados</x:v>
      </x:c>
      <x:c r="R187" t="str">
        <x:v>2025-10</x:v>
      </x:c>
    </x:row>
    <x:row r="188" ht="21" customHeight="1">
      <x:c r="A188" s="83" t="n">
        <x:v>45932</x:v>
      </x:c>
      <x:c r="B188" t="str">
        <x:v>quinta-feira</x:v>
      </x:c>
      <x:c r="C188" s="85" t="n">
        <x:v>0.5458333333333333</x:v>
      </x:c>
      <x:c r="D188" s="85" t="n">
        <x:v>0.6701388888888888</x:v>
      </x:c>
      <x:c r="E188" s="85" t="n">
        <x:v>0.7145833333333333</x:v>
      </x:c>
      <x:c r="F188" s="85" t="n">
        <x:v>0.8881944444444444</x:v>
      </x:c>
      <x:c r="G188" t="str">
        <x:f>TEXT(INT(K188/60),"00")&amp;":"&amp;TEXT(MOD(K188,60),"00")</x:f>
        <x:v>07:09</x:v>
      </x:c>
      <x:c r="H188" t="str">
        <x:f>TEXT(INT(L188/60),"00")&amp;":"&amp;TEXT(MOD(L188,60),"00")</x:f>
        <x:v>07:20</x:v>
      </x:c>
      <x:c r="I188" t="str">
        <x:f>IF(N188&gt;0,"+"&amp;TEXT(INT(N188/60),"00")&amp;":"&amp;TEXT(MOD(N188,60),"00"),"00:00")</x:f>
        <x:v>00:00</x:v>
      </x:c>
      <x:c r="J188" t="str">
        <x:f>IF(O188&gt;0,"-"&amp;TEXT(INT(O188/60),"00")&amp;":"&amp;TEXT(MOD(O188,60),"00"),"00:00")</x:f>
        <x:v>-00:11</x:v>
      </x:c>
      <x:c r="K188" t="n">
        <x:f>ROUND((F188-C188-IF(OR(D188="",E188=""),0,E188-D188))*1440,0)</x:f>
        <x:v>429</x:v>
      </x:c>
      <x:c r="L188" t="n">
        <x:v>440</x:v>
      </x:c>
      <x:c r="M188" t="n">
        <x:f>K188-L188</x:f>
        <x:v>-11</x:v>
      </x:c>
      <x:c r="N188" t="n">
        <x:f>MAX(0,M188)</x:f>
        <x:v>0</x:v>
      </x:c>
      <x:c r="O188" t="n">
        <x:f>MAX(0,-M188)</x:f>
        <x:v>11</x:v>
      </x:c>
      <x:c r="P188" t="str">
        <x:v>Ponto registrado — complemento ilustrativo</x:v>
      </x:c>
      <x:c r="Q188" t="str">
        <x:v>Saída da CONFERÊNCIA DE CAIXA; entrada/intervalo simulados</x:v>
      </x:c>
      <x:c r="R188" t="str">
        <x:v>2025-10</x:v>
      </x:c>
    </x:row>
    <x:row r="189" ht="21" customHeight="1">
      <x:c r="A189" s="83" t="n">
        <x:v>45933</x:v>
      </x:c>
      <x:c r="B189" t="str">
        <x:v>sexta-feira</x:v>
      </x:c>
      <x:c r="C189" s="85" t="n">
        <x:v>0.5430555555555555</x:v>
      </x:c>
      <x:c r="D189" s="85" t="n">
        <x:v>0.6729166666666667</x:v>
      </x:c>
      <x:c r="E189" s="85" t="n">
        <x:v>0.7138888888888889</x:v>
      </x:c>
      <x:c r="F189" s="85" t="n">
        <x:v>0.8875</x:v>
      </x:c>
      <x:c r="G189" t="str">
        <x:f>TEXT(INT(K189/60),"00")&amp;":"&amp;TEXT(MOD(K189,60),"00")</x:f>
        <x:v>07:17</x:v>
      </x:c>
      <x:c r="H189" t="str">
        <x:f>TEXT(INT(L189/60),"00")&amp;":"&amp;TEXT(MOD(L189,60),"00")</x:f>
        <x:v>07:20</x:v>
      </x:c>
      <x:c r="I189" t="str">
        <x:f>IF(N189&gt;0,"+"&amp;TEXT(INT(N189/60),"00")&amp;":"&amp;TEXT(MOD(N189,60),"00"),"00:00")</x:f>
        <x:v>00:00</x:v>
      </x:c>
      <x:c r="J189" t="str">
        <x:f>IF(O189&gt;0,"-"&amp;TEXT(INT(O189/60),"00")&amp;":"&amp;TEXT(MOD(O189,60),"00"),"00:00")</x:f>
        <x:v>-00:03</x:v>
      </x:c>
      <x:c r="K189" t="n">
        <x:f>ROUND((F189-C189-IF(OR(D189="",E189=""),0,E189-D189))*1440,0)</x:f>
        <x:v>437</x:v>
      </x:c>
      <x:c r="L189" t="n">
        <x:v>440</x:v>
      </x:c>
      <x:c r="M189" t="n">
        <x:f>K189-L189</x:f>
        <x:v>-3</x:v>
      </x:c>
      <x:c r="N189" t="n">
        <x:f>MAX(0,M189)</x:f>
        <x:v>0</x:v>
      </x:c>
      <x:c r="O189" t="n">
        <x:f>MAX(0,-M189)</x:f>
        <x:v>3</x:v>
      </x:c>
      <x:c r="P189" t="str">
        <x:v>Ponto registrado — complemento ilustrativo</x:v>
      </x:c>
      <x:c r="Q189" t="str">
        <x:v>Saída da CONFERÊNCIA DE CAIXA; entrada/intervalo simulados</x:v>
      </x:c>
      <x:c r="R189" t="str">
        <x:v>2025-10</x:v>
      </x:c>
    </x:row>
    <x:row r="190" ht="21" customHeight="1">
      <x:c r="A190" s="83" t="n">
        <x:v>45934</x:v>
      </x:c>
      <x:c r="B190" t="str">
        <x:v>sábado</x:v>
      </x:c>
      <x:c r="C190" s="85" t="n">
        <x:v>0.5375</x:v>
      </x:c>
      <x:c r="D190" s="85"/>
      <x:c r="E190" s="85"/>
      <x:c r="F190" s="85" t="n">
        <x:v>0.7083333333333334</x:v>
      </x:c>
      <x:c r="G190" t="str">
        <x:f>TEXT(INT(K190/60),"00")&amp;":"&amp;TEXT(MOD(K190,60),"00")</x:f>
        <x:v>04:06</x:v>
      </x:c>
      <x:c r="H190" t="str">
        <x:f>TEXT(INT(L190/60),"00")&amp;":"&amp;TEXT(MOD(L190,60),"00")</x:f>
        <x:v>04:00</x:v>
      </x:c>
      <x:c r="I190" t="str">
        <x:f>IF(N190&gt;0,"+"&amp;TEXT(INT(N190/60),"00")&amp;":"&amp;TEXT(MOD(N190,60),"00"),"00:00")</x:f>
        <x:v>+00:06</x:v>
      </x:c>
      <x:c r="J190" t="str">
        <x:f>IF(O190&gt;0,"-"&amp;TEXT(INT(O190/60),"00")&amp;":"&amp;TEXT(MOD(O190,60),"00"),"00:00")</x:f>
        <x:v>00:00</x:v>
      </x:c>
      <x:c r="K190" t="n">
        <x:f>ROUND((F190-C190-IF(OR(D190="",E190=""),0,E190-D190))*1440,0)</x:f>
        <x:v>246</x:v>
      </x:c>
      <x:c r="L190" t="n">
        <x:v>240</x:v>
      </x:c>
      <x:c r="M190" t="n">
        <x:f>K190-L190</x:f>
        <x:v>6</x:v>
      </x:c>
      <x:c r="N190" t="n">
        <x:f>MAX(0,M190)</x:f>
        <x:v>6</x:v>
      </x:c>
      <x:c r="O190" t="n">
        <x:f>MAX(0,-M190)</x:f>
        <x:v>0</x:v>
      </x:c>
      <x:c r="P190" t="str">
        <x:v>Ponto registrado — complemento ilustrativo</x:v>
      </x:c>
      <x:c r="Q190" t="str">
        <x:v>Saída da CONFERÊNCIA DE CAIXA; entrada/intervalo simulados</x:v>
      </x:c>
      <x:c r="R190" t="str">
        <x:v>2025-10</x:v>
      </x:c>
    </x:row>
    <x:row r="191" ht="21" customHeight="1">
      <x:c r="A191" s="83" t="n">
        <x:v>45936</x:v>
      </x:c>
      <x:c r="B191" t="str">
        <x:v>segunda-feira</x:v>
      </x:c>
      <x:c r="C191" s="85" t="n">
        <x:v>0.5375</x:v>
      </x:c>
      <x:c r="D191" s="85" t="n">
        <x:v>0.6756944444444445</x:v>
      </x:c>
      <x:c r="E191" s="85" t="n">
        <x:v>0.71875</x:v>
      </x:c>
      <x:c r="F191" s="85" t="n">
        <x:v>0.8881944444444444</x:v>
      </x:c>
      <x:c r="G191" t="str">
        <x:f>TEXT(INT(K191/60),"00")&amp;":"&amp;TEXT(MOD(K191,60),"00")</x:f>
        <x:v>07:23</x:v>
      </x:c>
      <x:c r="H191" t="str">
        <x:f>TEXT(INT(L191/60),"00")&amp;":"&amp;TEXT(MOD(L191,60),"00")</x:f>
        <x:v>07:20</x:v>
      </x:c>
      <x:c r="I191" t="str">
        <x:f>IF(N191&gt;0,"+"&amp;TEXT(INT(N191/60),"00")&amp;":"&amp;TEXT(MOD(N191,60),"00"),"00:00")</x:f>
        <x:v>+00:03</x:v>
      </x:c>
      <x:c r="J191" t="str">
        <x:f>IF(O191&gt;0,"-"&amp;TEXT(INT(O191/60),"00")&amp;":"&amp;TEXT(MOD(O191,60),"00"),"00:00")</x:f>
        <x:v>00:00</x:v>
      </x:c>
      <x:c r="K191" t="n">
        <x:f>ROUND((F191-C191-IF(OR(D191="",E191=""),0,E191-D191))*1440,0)</x:f>
        <x:v>443</x:v>
      </x:c>
      <x:c r="L191" t="n">
        <x:v>440</x:v>
      </x:c>
      <x:c r="M191" t="n">
        <x:f>K191-L191</x:f>
        <x:v>3</x:v>
      </x:c>
      <x:c r="N191" t="n">
        <x:f>MAX(0,M191)</x:f>
        <x:v>3</x:v>
      </x:c>
      <x:c r="O191" t="n">
        <x:f>MAX(0,-M191)</x:f>
        <x:v>0</x:v>
      </x:c>
      <x:c r="P191" t="str">
        <x:v>Ponto registrado — complemento ilustrativo</x:v>
      </x:c>
      <x:c r="Q191" t="str">
        <x:v>Saída da CONFERÊNCIA DE CAIXA; entrada/intervalo simulados</x:v>
      </x:c>
      <x:c r="R191" t="str">
        <x:v>2025-10</x:v>
      </x:c>
    </x:row>
    <x:row r="192" ht="21" customHeight="1">
      <x:c r="A192" s="83" t="n">
        <x:v>45937</x:v>
      </x:c>
      <x:c r="B192" t="str">
        <x:v>terça-feira</x:v>
      </x:c>
      <x:c r="C192" s="85" t="n">
        <x:v>0.5381944444444444</x:v>
      </x:c>
      <x:c r="D192" s="85" t="n">
        <x:v>0.66875</x:v>
      </x:c>
      <x:c r="E192" s="85" t="n">
        <x:v>0.7111111111111111</x:v>
      </x:c>
      <x:c r="F192" s="85" t="n">
        <x:v>0.8902777777777777</x:v>
      </x:c>
      <x:c r="G192" t="str">
        <x:f>TEXT(INT(K192/60),"00")&amp;":"&amp;TEXT(MOD(K192,60),"00")</x:f>
        <x:v>07:26</x:v>
      </x:c>
      <x:c r="H192" t="str">
        <x:f>TEXT(INT(L192/60),"00")&amp;":"&amp;TEXT(MOD(L192,60),"00")</x:f>
        <x:v>07:20</x:v>
      </x:c>
      <x:c r="I192" t="str">
        <x:f>IF(N192&gt;0,"+"&amp;TEXT(INT(N192/60),"00")&amp;":"&amp;TEXT(MOD(N192,60),"00"),"00:00")</x:f>
        <x:v>+00:06</x:v>
      </x:c>
      <x:c r="J192" t="str">
        <x:f>IF(O192&gt;0,"-"&amp;TEXT(INT(O192/60),"00")&amp;":"&amp;TEXT(MOD(O192,60),"00"),"00:00")</x:f>
        <x:v>00:00</x:v>
      </x:c>
      <x:c r="K192" t="n">
        <x:f>ROUND((F192-C192-IF(OR(D192="",E192=""),0,E192-D192))*1440,0)</x:f>
        <x:v>446</x:v>
      </x:c>
      <x:c r="L192" t="n">
        <x:v>440</x:v>
      </x:c>
      <x:c r="M192" t="n">
        <x:f>K192-L192</x:f>
        <x:v>6</x:v>
      </x:c>
      <x:c r="N192" t="n">
        <x:f>MAX(0,M192)</x:f>
        <x:v>6</x:v>
      </x:c>
      <x:c r="O192" t="n">
        <x:f>MAX(0,-M192)</x:f>
        <x:v>0</x:v>
      </x:c>
      <x:c r="P192" t="str">
        <x:v>Ponto registrado — complemento ilustrativo</x:v>
      </x:c>
      <x:c r="Q192" t="str">
        <x:v>Saída da CONFERÊNCIA DE CAIXA; entrada/intervalo simulados</x:v>
      </x:c>
      <x:c r="R192" t="str">
        <x:v>2025-10</x:v>
      </x:c>
    </x:row>
    <x:row r="193" ht="21" customHeight="1">
      <x:c r="A193" s="83" t="n">
        <x:v>45938</x:v>
      </x:c>
      <x:c r="B193" t="str">
        <x:v>quarta-feira</x:v>
      </x:c>
      <x:c r="C193" s="85" t="n">
        <x:v>0.5409722222222222</x:v>
      </x:c>
      <x:c r="D193" s="85" t="n">
        <x:v>0.6666666666666666</x:v>
      </x:c>
      <x:c r="E193" s="85" t="n">
        <x:v>0.7076388888888889</x:v>
      </x:c>
      <x:c r="F193" s="85" t="n">
        <x:v>0.8895833333333333</x:v>
      </x:c>
      <x:c r="G193" t="str">
        <x:f>TEXT(INT(K193/60),"00")&amp;":"&amp;TEXT(MOD(K193,60),"00")</x:f>
        <x:v>07:23</x:v>
      </x:c>
      <x:c r="H193" t="str">
        <x:f>TEXT(INT(L193/60),"00")&amp;":"&amp;TEXT(MOD(L193,60),"00")</x:f>
        <x:v>07:20</x:v>
      </x:c>
      <x:c r="I193" t="str">
        <x:f>IF(N193&gt;0,"+"&amp;TEXT(INT(N193/60),"00")&amp;":"&amp;TEXT(MOD(N193,60),"00"),"00:00")</x:f>
        <x:v>+00:03</x:v>
      </x:c>
      <x:c r="J193" t="str">
        <x:f>IF(O193&gt;0,"-"&amp;TEXT(INT(O193/60),"00")&amp;":"&amp;TEXT(MOD(O193,60),"00"),"00:00")</x:f>
        <x:v>00:00</x:v>
      </x:c>
      <x:c r="K193" t="n">
        <x:f>ROUND((F193-C193-IF(OR(D193="",E193=""),0,E193-D193))*1440,0)</x:f>
        <x:v>443</x:v>
      </x:c>
      <x:c r="L193" t="n">
        <x:v>440</x:v>
      </x:c>
      <x:c r="M193" t="n">
        <x:f>K193-L193</x:f>
        <x:v>3</x:v>
      </x:c>
      <x:c r="N193" t="n">
        <x:f>MAX(0,M193)</x:f>
        <x:v>3</x:v>
      </x:c>
      <x:c r="O193" t="n">
        <x:f>MAX(0,-M193)</x:f>
        <x:v>0</x:v>
      </x:c>
      <x:c r="P193" t="str">
        <x:v>Ponto registrado — complemento ilustrativo</x:v>
      </x:c>
      <x:c r="Q193" t="str">
        <x:v>Saída da CONFERÊNCIA DE CAIXA; entrada/intervalo simulados</x:v>
      </x:c>
      <x:c r="R193" t="str">
        <x:v>2025-10</x:v>
      </x:c>
    </x:row>
    <x:row r="194" ht="21" customHeight="1">
      <x:c r="A194" s="83" t="n">
        <x:v>45939</x:v>
      </x:c>
      <x:c r="B194" t="str">
        <x:v>quinta-feira</x:v>
      </x:c>
      <x:c r="C194" s="85" t="n">
        <x:v>0.5472222222222223</x:v>
      </x:c>
      <x:c r="D194" s="85" t="n">
        <x:v>0.6659722222222222</x:v>
      </x:c>
      <x:c r="E194" s="85" t="n">
        <x:v>0.7090277777777778</x:v>
      </x:c>
      <x:c r="F194" s="85" t="n">
        <x:v>0.8895833333333333</x:v>
      </x:c>
      <x:c r="G194" t="str">
        <x:f>TEXT(INT(K194/60),"00")&amp;":"&amp;TEXT(MOD(K194,60),"00")</x:f>
        <x:v>07:11</x:v>
      </x:c>
      <x:c r="H194" t="str">
        <x:f>TEXT(INT(L194/60),"00")&amp;":"&amp;TEXT(MOD(L194,60),"00")</x:f>
        <x:v>07:20</x:v>
      </x:c>
      <x:c r="I194" t="str">
        <x:f>IF(N194&gt;0,"+"&amp;TEXT(INT(N194/60),"00")&amp;":"&amp;TEXT(MOD(N194,60),"00"),"00:00")</x:f>
        <x:v>00:00</x:v>
      </x:c>
      <x:c r="J194" t="str">
        <x:f>IF(O194&gt;0,"-"&amp;TEXT(INT(O194/60),"00")&amp;":"&amp;TEXT(MOD(O194,60),"00"),"00:00")</x:f>
        <x:v>-00:09</x:v>
      </x:c>
      <x:c r="K194" t="n">
        <x:f>ROUND((F194-C194-IF(OR(D194="",E194=""),0,E194-D194))*1440,0)</x:f>
        <x:v>431</x:v>
      </x:c>
      <x:c r="L194" t="n">
        <x:v>440</x:v>
      </x:c>
      <x:c r="M194" t="n">
        <x:f>K194-L194</x:f>
        <x:v>-9</x:v>
      </x:c>
      <x:c r="N194" t="n">
        <x:f>MAX(0,M194)</x:f>
        <x:v>0</x:v>
      </x:c>
      <x:c r="O194" t="n">
        <x:f>MAX(0,-M194)</x:f>
        <x:v>9</x:v>
      </x:c>
      <x:c r="P194" t="str">
        <x:v>Ponto registrado — complemento ilustrativo</x:v>
      </x:c>
      <x:c r="Q194" t="str">
        <x:v>Saída da CONFERÊNCIA DE CAIXA; entrada/intervalo simulados</x:v>
      </x:c>
      <x:c r="R194" t="str">
        <x:v>2025-10</x:v>
      </x:c>
    </x:row>
    <x:row r="195" ht="21" customHeight="1">
      <x:c r="A195" s="83" t="n">
        <x:v>45940</x:v>
      </x:c>
      <x:c r="B195" t="str">
        <x:v>sexta-feira</x:v>
      </x:c>
      <x:c r="C195" s="85" t="n">
        <x:v>0.5409722222222222</x:v>
      </x:c>
      <x:c r="D195" s="85" t="n">
        <x:v>0.6743055555555556</x:v>
      </x:c>
      <x:c r="E195" s="85" t="n">
        <x:v>0.7159722222222222</x:v>
      </x:c>
      <x:c r="F195" s="85" t="n">
        <x:v>0.88125</x:v>
      </x:c>
      <x:c r="G195" t="str">
        <x:f>TEXT(INT(K195/60),"00")&amp;":"&amp;TEXT(MOD(K195,60),"00")</x:f>
        <x:v>07:10</x:v>
      </x:c>
      <x:c r="H195" t="str">
        <x:f>TEXT(INT(L195/60),"00")&amp;":"&amp;TEXT(MOD(L195,60),"00")</x:f>
        <x:v>07:20</x:v>
      </x:c>
      <x:c r="I195" t="str">
        <x:f>IF(N195&gt;0,"+"&amp;TEXT(INT(N195/60),"00")&amp;":"&amp;TEXT(MOD(N195,60),"00"),"00:00")</x:f>
        <x:v>00:00</x:v>
      </x:c>
      <x:c r="J195" t="str">
        <x:f>IF(O195&gt;0,"-"&amp;TEXT(INT(O195/60),"00")&amp;":"&amp;TEXT(MOD(O195,60),"00"),"00:00")</x:f>
        <x:v>-00:10</x:v>
      </x:c>
      <x:c r="K195" t="n">
        <x:f>ROUND((F195-C195-IF(OR(D195="",E195=""),0,E195-D195))*1440,0)</x:f>
        <x:v>430</x:v>
      </x:c>
      <x:c r="L195" t="n">
        <x:v>440</x:v>
      </x:c>
      <x:c r="M195" t="n">
        <x:f>K195-L195</x:f>
        <x:v>-10</x:v>
      </x:c>
      <x:c r="N195" t="n">
        <x:f>MAX(0,M195)</x:f>
        <x:v>0</x:v>
      </x:c>
      <x:c r="O195" t="n">
        <x:f>MAX(0,-M195)</x:f>
        <x:v>10</x:v>
      </x:c>
      <x:c r="P195" t="str">
        <x:v>Ponto registrado — complemento ilustrativo</x:v>
      </x:c>
      <x:c r="Q195" t="str">
        <x:v>Saída da CONFERÊNCIA DE CAIXA; entrada/intervalo simulados</x:v>
      </x:c>
      <x:c r="R195" t="str">
        <x:v>2025-10</x:v>
      </x:c>
    </x:row>
    <x:row r="196" ht="21" customHeight="1">
      <x:c r="A196" s="83" t="n">
        <x:v>45941</x:v>
      </x:c>
      <x:c r="B196" t="str">
        <x:v>sábado</x:v>
      </x:c>
      <x:c r="C196" s="85" t="n">
        <x:v>0.5444444444444444</x:v>
      </x:c>
      <x:c r="D196" s="85"/>
      <x:c r="E196" s="85"/>
      <x:c r="F196" s="85" t="n">
        <x:v>0.7020833333333333</x:v>
      </x:c>
      <x:c r="G196" t="str">
        <x:f>TEXT(INT(K196/60),"00")&amp;":"&amp;TEXT(MOD(K196,60),"00")</x:f>
        <x:v>03:47</x:v>
      </x:c>
      <x:c r="H196" t="str">
        <x:f>TEXT(INT(L196/60),"00")&amp;":"&amp;TEXT(MOD(L196,60),"00")</x:f>
        <x:v>04:00</x:v>
      </x:c>
      <x:c r="I196" t="str">
        <x:f>IF(N196&gt;0,"+"&amp;TEXT(INT(N196/60),"00")&amp;":"&amp;TEXT(MOD(N196,60),"00"),"00:00")</x:f>
        <x:v>00:00</x:v>
      </x:c>
      <x:c r="J196" t="str">
        <x:f>IF(O196&gt;0,"-"&amp;TEXT(INT(O196/60),"00")&amp;":"&amp;TEXT(MOD(O196,60),"00"),"00:00")</x:f>
        <x:v>-00:13</x:v>
      </x:c>
      <x:c r="K196" t="n">
        <x:f>ROUND((F196-C196-IF(OR(D196="",E196=""),0,E196-D196))*1440,0)</x:f>
        <x:v>227</x:v>
      </x:c>
      <x:c r="L196" t="n">
        <x:v>240</x:v>
      </x:c>
      <x:c r="M196" t="n">
        <x:f>K196-L196</x:f>
        <x:v>-13</x:v>
      </x:c>
      <x:c r="N196" t="n">
        <x:f>MAX(0,M196)</x:f>
        <x:v>0</x:v>
      </x:c>
      <x:c r="O196" t="n">
        <x:f>MAX(0,-M196)</x:f>
        <x:v>13</x:v>
      </x:c>
      <x:c r="P196" t="str">
        <x:v>Ponto registrado — complemento ilustrativo</x:v>
      </x:c>
      <x:c r="Q196" t="str">
        <x:v>Saída da CONFERÊNCIA DE CAIXA; entrada/intervalo simulados</x:v>
      </x:c>
      <x:c r="R196" t="str">
        <x:v>2025-10</x:v>
      </x:c>
    </x:row>
    <x:row r="197" ht="21" customHeight="1">
      <x:c r="A197" s="83" t="n">
        <x:v>45943</x:v>
      </x:c>
      <x:c r="B197" t="str">
        <x:v>segunda-feira</x:v>
      </x:c>
      <x:c r="C197" s="85" t="n">
        <x:v>0.5472222222222223</x:v>
      </x:c>
      <x:c r="D197" s="85" t="n">
        <x:v>0.6770833333333334</x:v>
      </x:c>
      <x:c r="E197" s="85" t="n">
        <x:v>0.71875</x:v>
      </x:c>
      <x:c r="F197" s="85" t="n">
        <x:v>0.8888888888888888</x:v>
      </x:c>
      <x:c r="G197" t="str">
        <x:f>TEXT(INT(K197/60),"00")&amp;":"&amp;TEXT(MOD(K197,60),"00")</x:f>
        <x:v>07:12</x:v>
      </x:c>
      <x:c r="H197" t="str">
        <x:f>TEXT(INT(L197/60),"00")&amp;":"&amp;TEXT(MOD(L197,60),"00")</x:f>
        <x:v>07:20</x:v>
      </x:c>
      <x:c r="I197" t="str">
        <x:f>IF(N197&gt;0,"+"&amp;TEXT(INT(N197/60),"00")&amp;":"&amp;TEXT(MOD(N197,60),"00"),"00:00")</x:f>
        <x:v>00:00</x:v>
      </x:c>
      <x:c r="J197" t="str">
        <x:f>IF(O197&gt;0,"-"&amp;TEXT(INT(O197/60),"00")&amp;":"&amp;TEXT(MOD(O197,60),"00"),"00:00")</x:f>
        <x:v>-00:08</x:v>
      </x:c>
      <x:c r="K197" t="n">
        <x:f>ROUND((F197-C197-IF(OR(D197="",E197=""),0,E197-D197))*1440,0)</x:f>
        <x:v>432</x:v>
      </x:c>
      <x:c r="L197" t="n">
        <x:v>440</x:v>
      </x:c>
      <x:c r="M197" t="n">
        <x:f>K197-L197</x:f>
        <x:v>-8</x:v>
      </x:c>
      <x:c r="N197" t="n">
        <x:f>MAX(0,M197)</x:f>
        <x:v>0</x:v>
      </x:c>
      <x:c r="O197" t="n">
        <x:f>MAX(0,-M197)</x:f>
        <x:v>8</x:v>
      </x:c>
      <x:c r="P197" t="str">
        <x:v>Ponto registrado — complemento ilustrativo</x:v>
      </x:c>
      <x:c r="Q197" t="str">
        <x:v>Saída da CONFERÊNCIA DE CAIXA; entrada/intervalo simulados</x:v>
      </x:c>
      <x:c r="R197" t="str">
        <x:v>2025-10</x:v>
      </x:c>
    </x:row>
    <x:row r="198" ht="21" customHeight="1">
      <x:c r="A198" s="83" t="n">
        <x:v>45944</x:v>
      </x:c>
      <x:c r="B198" t="str">
        <x:v>terça-feira</x:v>
      </x:c>
      <x:c r="C198" s="85" t="n">
        <x:v>0.5381944444444444</x:v>
      </x:c>
      <x:c r="D198" s="85" t="n">
        <x:v>0.6770833333333334</x:v>
      </x:c>
      <x:c r="E198" s="85" t="n">
        <x:v>0.7201388888888889</x:v>
      </x:c>
      <x:c r="F198" s="85" t="n">
        <x:v>0.8875</x:v>
      </x:c>
      <x:c r="G198" t="str">
        <x:f>TEXT(INT(K198/60),"00")&amp;":"&amp;TEXT(MOD(K198,60),"00")</x:f>
        <x:v>07:21</x:v>
      </x:c>
      <x:c r="H198" t="str">
        <x:f>TEXT(INT(L198/60),"00")&amp;":"&amp;TEXT(MOD(L198,60),"00")</x:f>
        <x:v>07:20</x:v>
      </x:c>
      <x:c r="I198" t="str">
        <x:f>IF(N198&gt;0,"+"&amp;TEXT(INT(N198/60),"00")&amp;":"&amp;TEXT(MOD(N198,60),"00"),"00:00")</x:f>
        <x:v>+00:01</x:v>
      </x:c>
      <x:c r="J198" t="str">
        <x:f>IF(O198&gt;0,"-"&amp;TEXT(INT(O198/60),"00")&amp;":"&amp;TEXT(MOD(O198,60),"00"),"00:00")</x:f>
        <x:v>00:00</x:v>
      </x:c>
      <x:c r="K198" t="n">
        <x:f>ROUND((F198-C198-IF(OR(D198="",E198=""),0,E198-D198))*1440,0)</x:f>
        <x:v>441</x:v>
      </x:c>
      <x:c r="L198" t="n">
        <x:v>440</x:v>
      </x:c>
      <x:c r="M198" t="n">
        <x:f>K198-L198</x:f>
        <x:v>1</x:v>
      </x:c>
      <x:c r="N198" t="n">
        <x:f>MAX(0,M198)</x:f>
        <x:v>1</x:v>
      </x:c>
      <x:c r="O198" t="n">
        <x:f>MAX(0,-M198)</x:f>
        <x:v>0</x:v>
      </x:c>
      <x:c r="P198" t="str">
        <x:v>Ponto registrado — complemento ilustrativo</x:v>
      </x:c>
      <x:c r="Q198" t="str">
        <x:v>Saída da CONFERÊNCIA DE CAIXA; entrada/intervalo simulados</x:v>
      </x:c>
      <x:c r="R198" t="str">
        <x:v>2025-10</x:v>
      </x:c>
    </x:row>
    <x:row r="199" ht="21" customHeight="1">
      <x:c r="A199" s="83" t="n">
        <x:v>45945</x:v>
      </x:c>
      <x:c r="B199" t="str">
        <x:v>quarta-feira</x:v>
      </x:c>
      <x:c r="C199" s="85" t="n">
        <x:v>0.5381944444444444</x:v>
      </x:c>
      <x:c r="D199" s="85" t="n">
        <x:v>0.6708333333333333</x:v>
      </x:c>
      <x:c r="E199" s="85" t="n">
        <x:v>0.7131944444444445</x:v>
      </x:c>
      <x:c r="F199" s="85" t="n">
        <x:v>0.8868055555555555</x:v>
      </x:c>
      <x:c r="G199" t="str">
        <x:f>TEXT(INT(K199/60),"00")&amp;":"&amp;TEXT(MOD(K199,60),"00")</x:f>
        <x:v>07:21</x:v>
      </x:c>
      <x:c r="H199" t="str">
        <x:f>TEXT(INT(L199/60),"00")&amp;":"&amp;TEXT(MOD(L199,60),"00")</x:f>
        <x:v>07:20</x:v>
      </x:c>
      <x:c r="I199" t="str">
        <x:f>IF(N199&gt;0,"+"&amp;TEXT(INT(N199/60),"00")&amp;":"&amp;TEXT(MOD(N199,60),"00"),"00:00")</x:f>
        <x:v>+00:01</x:v>
      </x:c>
      <x:c r="J199" t="str">
        <x:f>IF(O199&gt;0,"-"&amp;TEXT(INT(O199/60),"00")&amp;":"&amp;TEXT(MOD(O199,60),"00"),"00:00")</x:f>
        <x:v>00:00</x:v>
      </x:c>
      <x:c r="K199" t="n">
        <x:f>ROUND((F199-C199-IF(OR(D199="",E199=""),0,E199-D199))*1440,0)</x:f>
        <x:v>441</x:v>
      </x:c>
      <x:c r="L199" t="n">
        <x:v>440</x:v>
      </x:c>
      <x:c r="M199" t="n">
        <x:f>K199-L199</x:f>
        <x:v>1</x:v>
      </x:c>
      <x:c r="N199" t="n">
        <x:f>MAX(0,M199)</x:f>
        <x:v>1</x:v>
      </x:c>
      <x:c r="O199" t="n">
        <x:f>MAX(0,-M199)</x:f>
        <x:v>0</x:v>
      </x:c>
      <x:c r="P199" t="str">
        <x:v>Ponto registrado — complemento ilustrativo</x:v>
      </x:c>
      <x:c r="Q199" t="str">
        <x:v>Saída da CONFERÊNCIA DE CAIXA; entrada/intervalo simulados</x:v>
      </x:c>
      <x:c r="R199" t="str">
        <x:v>2025-10</x:v>
      </x:c>
    </x:row>
    <x:row r="200" ht="21" customHeight="1">
      <x:c r="A200" s="83" t="n">
        <x:v>45946</x:v>
      </x:c>
      <x:c r="B200" t="str">
        <x:v>quinta-feira</x:v>
      </x:c>
      <x:c r="C200" s="85" t="n">
        <x:v>0.5375</x:v>
      </x:c>
      <x:c r="D200" s="85" t="n">
        <x:v>0.6715277777777777</x:v>
      </x:c>
      <x:c r="E200" s="85" t="n">
        <x:v>0.7131944444444445</x:v>
      </x:c>
      <x:c r="F200" s="85" t="n">
        <x:v>0.8895833333333333</x:v>
      </x:c>
      <x:c r="G200" t="str">
        <x:f>TEXT(INT(K200/60),"00")&amp;":"&amp;TEXT(MOD(K200,60),"00")</x:f>
        <x:v>07:27</x:v>
      </x:c>
      <x:c r="H200" t="str">
        <x:f>TEXT(INT(L200/60),"00")&amp;":"&amp;TEXT(MOD(L200,60),"00")</x:f>
        <x:v>07:20</x:v>
      </x:c>
      <x:c r="I200" t="str">
        <x:f>IF(N200&gt;0,"+"&amp;TEXT(INT(N200/60),"00")&amp;":"&amp;TEXT(MOD(N200,60),"00"),"00:00")</x:f>
        <x:v>+00:07</x:v>
      </x:c>
      <x:c r="J200" t="str">
        <x:f>IF(O200&gt;0,"-"&amp;TEXT(INT(O200/60),"00")&amp;":"&amp;TEXT(MOD(O200,60),"00"),"00:00")</x:f>
        <x:v>00:00</x:v>
      </x:c>
      <x:c r="K200" t="n">
        <x:f>ROUND((F200-C200-IF(OR(D200="",E200=""),0,E200-D200))*1440,0)</x:f>
        <x:v>447</x:v>
      </x:c>
      <x:c r="L200" t="n">
        <x:v>440</x:v>
      </x:c>
      <x:c r="M200" t="n">
        <x:f>K200-L200</x:f>
        <x:v>7</x:v>
      </x:c>
      <x:c r="N200" t="n">
        <x:f>MAX(0,M200)</x:f>
        <x:v>7</x:v>
      </x:c>
      <x:c r="O200" t="n">
        <x:f>MAX(0,-M200)</x:f>
        <x:v>0</x:v>
      </x:c>
      <x:c r="P200" t="str">
        <x:v>Ponto registrado — complemento ilustrativo</x:v>
      </x:c>
      <x:c r="Q200" t="str">
        <x:v>Saída da CONFERÊNCIA DE CAIXA; entrada/intervalo simulados</x:v>
      </x:c>
      <x:c r="R200" t="str">
        <x:v>2025-10</x:v>
      </x:c>
    </x:row>
    <x:row r="201" ht="21" customHeight="1">
      <x:c r="A201" s="83" t="n">
        <x:v>45947</x:v>
      </x:c>
      <x:c r="B201" t="str">
        <x:v>sexta-feira</x:v>
      </x:c>
      <x:c r="C201" s="85" t="n">
        <x:v>0.5472222222222223</x:v>
      </x:c>
      <x:c r="D201" s="85" t="n">
        <x:v>0.6666666666666666</x:v>
      </x:c>
      <x:c r="E201" s="85" t="n">
        <x:v>0.7076388888888889</x:v>
      </x:c>
      <x:c r="F201" s="85" t="n">
        <x:v>0.8888888888888888</x:v>
      </x:c>
      <x:c r="G201" t="str">
        <x:f>TEXT(INT(K201/60),"00")&amp;":"&amp;TEXT(MOD(K201,60),"00")</x:f>
        <x:v>07:13</x:v>
      </x:c>
      <x:c r="H201" t="str">
        <x:f>TEXT(INT(L201/60),"00")&amp;":"&amp;TEXT(MOD(L201,60),"00")</x:f>
        <x:v>07:20</x:v>
      </x:c>
      <x:c r="I201" t="str">
        <x:f>IF(N201&gt;0,"+"&amp;TEXT(INT(N201/60),"00")&amp;":"&amp;TEXT(MOD(N201,60),"00"),"00:00")</x:f>
        <x:v>00:00</x:v>
      </x:c>
      <x:c r="J201" t="str">
        <x:f>IF(O201&gt;0,"-"&amp;TEXT(INT(O201/60),"00")&amp;":"&amp;TEXT(MOD(O201,60),"00"),"00:00")</x:f>
        <x:v>-00:07</x:v>
      </x:c>
      <x:c r="K201" t="n">
        <x:f>ROUND((F201-C201-IF(OR(D201="",E201=""),0,E201-D201))*1440,0)</x:f>
        <x:v>433</x:v>
      </x:c>
      <x:c r="L201" t="n">
        <x:v>440</x:v>
      </x:c>
      <x:c r="M201" t="n">
        <x:f>K201-L201</x:f>
        <x:v>-7</x:v>
      </x:c>
      <x:c r="N201" t="n">
        <x:f>MAX(0,M201)</x:f>
        <x:v>0</x:v>
      </x:c>
      <x:c r="O201" t="n">
        <x:f>MAX(0,-M201)</x:f>
        <x:v>7</x:v>
      </x:c>
      <x:c r="P201" t="str">
        <x:v>Ponto registrado — complemento ilustrativo</x:v>
      </x:c>
      <x:c r="Q201" t="str">
        <x:v>Saída da CONFERÊNCIA DE CAIXA; entrada/intervalo simulados</x:v>
      </x:c>
      <x:c r="R201" t="str">
        <x:v>2025-10</x:v>
      </x:c>
    </x:row>
    <x:row r="202" ht="21" customHeight="1">
      <x:c r="A202" s="83" t="n">
        <x:v>45948</x:v>
      </x:c>
      <x:c r="B202" t="str">
        <x:v>sábado</x:v>
      </x:c>
      <x:c r="C202" s="85" t="n">
        <x:v>0.5388888888888889</x:v>
      </x:c>
      <x:c r="D202" s="85"/>
      <x:c r="E202" s="85"/>
      <x:c r="F202" s="85" t="n">
        <x:v>0.7041666666666667</x:v>
      </x:c>
      <x:c r="G202" t="str">
        <x:f>TEXT(INT(K202/60),"00")&amp;":"&amp;TEXT(MOD(K202,60),"00")</x:f>
        <x:v>03:58</x:v>
      </x:c>
      <x:c r="H202" t="str">
        <x:f>TEXT(INT(L202/60),"00")&amp;":"&amp;TEXT(MOD(L202,60),"00")</x:f>
        <x:v>04:00</x:v>
      </x:c>
      <x:c r="I202" t="str">
        <x:f>IF(N202&gt;0,"+"&amp;TEXT(INT(N202/60),"00")&amp;":"&amp;TEXT(MOD(N202,60),"00"),"00:00")</x:f>
        <x:v>00:00</x:v>
      </x:c>
      <x:c r="J202" t="str">
        <x:f>IF(O202&gt;0,"-"&amp;TEXT(INT(O202/60),"00")&amp;":"&amp;TEXT(MOD(O202,60),"00"),"00:00")</x:f>
        <x:v>-00:02</x:v>
      </x:c>
      <x:c r="K202" t="n">
        <x:f>ROUND((F202-C202-IF(OR(D202="",E202=""),0,E202-D202))*1440,0)</x:f>
        <x:v>238</x:v>
      </x:c>
      <x:c r="L202" t="n">
        <x:v>240</x:v>
      </x:c>
      <x:c r="M202" t="n">
        <x:f>K202-L202</x:f>
        <x:v>-2</x:v>
      </x:c>
      <x:c r="N202" t="n">
        <x:f>MAX(0,M202)</x:f>
        <x:v>0</x:v>
      </x:c>
      <x:c r="O202" t="n">
        <x:f>MAX(0,-M202)</x:f>
        <x:v>2</x:v>
      </x:c>
      <x:c r="P202" t="str">
        <x:v>Ponto registrado — complemento ilustrativo</x:v>
      </x:c>
      <x:c r="Q202" t="str">
        <x:v>Saída da CONFERÊNCIA DE CAIXA; entrada/intervalo simulados</x:v>
      </x:c>
      <x:c r="R202" t="str">
        <x:v>2025-10</x:v>
      </x:c>
    </x:row>
    <x:row r="203" ht="21" customHeight="1">
      <x:c r="A203" s="83" t="n">
        <x:v>45950</x:v>
      </x:c>
      <x:c r="B203" t="str">
        <x:v>segunda-feira</x:v>
      </x:c>
      <x:c r="C203" s="85" t="n">
        <x:v>0.5458333333333333</x:v>
      </x:c>
      <x:c r="D203" s="85" t="n">
        <x:v>0.6680555555555555</x:v>
      </x:c>
      <x:c r="E203" s="85" t="n">
        <x:v>0.7104166666666667</x:v>
      </x:c>
      <x:c r="F203" s="85" t="n">
        <x:v>0.8881944444444444</x:v>
      </x:c>
      <x:c r="G203" t="str">
        <x:f>TEXT(INT(K203/60),"00")&amp;":"&amp;TEXT(MOD(K203,60),"00")</x:f>
        <x:v>07:12</x:v>
      </x:c>
      <x:c r="H203" t="str">
        <x:f>TEXT(INT(L203/60),"00")&amp;":"&amp;TEXT(MOD(L203,60),"00")</x:f>
        <x:v>07:20</x:v>
      </x:c>
      <x:c r="I203" t="str">
        <x:f>IF(N203&gt;0,"+"&amp;TEXT(INT(N203/60),"00")&amp;":"&amp;TEXT(MOD(N203,60),"00"),"00:00")</x:f>
        <x:v>00:00</x:v>
      </x:c>
      <x:c r="J203" t="str">
        <x:f>IF(O203&gt;0,"-"&amp;TEXT(INT(O203/60),"00")&amp;":"&amp;TEXT(MOD(O203,60),"00"),"00:00")</x:f>
        <x:v>-00:08</x:v>
      </x:c>
      <x:c r="K203" t="n">
        <x:f>ROUND((F203-C203-IF(OR(D203="",E203=""),0,E203-D203))*1440,0)</x:f>
        <x:v>432</x:v>
      </x:c>
      <x:c r="L203" t="n">
        <x:v>440</x:v>
      </x:c>
      <x:c r="M203" t="n">
        <x:f>K203-L203</x:f>
        <x:v>-8</x:v>
      </x:c>
      <x:c r="N203" t="n">
        <x:f>MAX(0,M203)</x:f>
        <x:v>0</x:v>
      </x:c>
      <x:c r="O203" t="n">
        <x:f>MAX(0,-M203)</x:f>
        <x:v>8</x:v>
      </x:c>
      <x:c r="P203" t="str">
        <x:v>Ponto registrado — complemento ilustrativo</x:v>
      </x:c>
      <x:c r="Q203" t="str">
        <x:v>Saída da CONFERÊNCIA DE CAIXA; entrada/intervalo simulados</x:v>
      </x:c>
      <x:c r="R203" t="str">
        <x:v>2025-10</x:v>
      </x:c>
    </x:row>
    <x:row r="204" ht="21" customHeight="1">
      <x:c r="A204" s="83" t="n">
        <x:v>45951</x:v>
      </x:c>
      <x:c r="B204" t="str">
        <x:v>terça-feira</x:v>
      </x:c>
      <x:c r="C204" s="85" t="n">
        <x:v>0.5423611111111111</x:v>
      </x:c>
      <x:c r="D204" s="85" t="n">
        <x:v>0.6673611111111111</x:v>
      </x:c>
      <x:c r="E204" s="85" t="n">
        <x:v>0.7076388888888889</x:v>
      </x:c>
      <x:c r="F204" s="85" t="n">
        <x:v>0.8875</x:v>
      </x:c>
      <x:c r="G204" t="str">
        <x:f>TEXT(INT(K204/60),"00")&amp;":"&amp;TEXT(MOD(K204,60),"00")</x:f>
        <x:v>07:19</x:v>
      </x:c>
      <x:c r="H204" t="str">
        <x:f>TEXT(INT(L204/60),"00")&amp;":"&amp;TEXT(MOD(L204,60),"00")</x:f>
        <x:v>07:20</x:v>
      </x:c>
      <x:c r="I204" t="str">
        <x:f>IF(N204&gt;0,"+"&amp;TEXT(INT(N204/60),"00")&amp;":"&amp;TEXT(MOD(N204,60),"00"),"00:00")</x:f>
        <x:v>00:00</x:v>
      </x:c>
      <x:c r="J204" t="str">
        <x:f>IF(O204&gt;0,"-"&amp;TEXT(INT(O204/60),"00")&amp;":"&amp;TEXT(MOD(O204,60),"00"),"00:00")</x:f>
        <x:v>-00:01</x:v>
      </x:c>
      <x:c r="K204" t="n">
        <x:f>ROUND((F204-C204-IF(OR(D204="",E204=""),0,E204-D204))*1440,0)</x:f>
        <x:v>439</x:v>
      </x:c>
      <x:c r="L204" t="n">
        <x:v>440</x:v>
      </x:c>
      <x:c r="M204" t="n">
        <x:f>K204-L204</x:f>
        <x:v>-1</x:v>
      </x:c>
      <x:c r="N204" t="n">
        <x:f>MAX(0,M204)</x:f>
        <x:v>0</x:v>
      </x:c>
      <x:c r="O204" t="n">
        <x:f>MAX(0,-M204)</x:f>
        <x:v>1</x:v>
      </x:c>
      <x:c r="P204" t="str">
        <x:v>Ponto registrado — complemento ilustrativo</x:v>
      </x:c>
      <x:c r="Q204" t="str">
        <x:v>Saída da CONFERÊNCIA DE CAIXA; entrada/intervalo simulados</x:v>
      </x:c>
      <x:c r="R204" t="str">
        <x:v>2025-10</x:v>
      </x:c>
    </x:row>
    <x:row r="205" ht="21" customHeight="1">
      <x:c r="A205" s="83" t="n">
        <x:v>45952</x:v>
      </x:c>
      <x:c r="B205" t="str">
        <x:v>quarta-feira</x:v>
      </x:c>
      <x:c r="C205" s="85" t="n">
        <x:v>0.5409722222222222</x:v>
      </x:c>
      <x:c r="D205" s="85" t="n">
        <x:v>0.6770833333333334</x:v>
      </x:c>
      <x:c r="E205" s="85" t="n">
        <x:v>0.7159722222222222</x:v>
      </x:c>
      <x:c r="F205" s="85" t="n">
        <x:v>0.8868055555555555</x:v>
      </x:c>
      <x:c r="G205" t="str">
        <x:f>TEXT(INT(K205/60),"00")&amp;":"&amp;TEXT(MOD(K205,60),"00")</x:f>
        <x:v>07:22</x:v>
      </x:c>
      <x:c r="H205" t="str">
        <x:f>TEXT(INT(L205/60),"00")&amp;":"&amp;TEXT(MOD(L205,60),"00")</x:f>
        <x:v>07:20</x:v>
      </x:c>
      <x:c r="I205" t="str">
        <x:f>IF(N205&gt;0,"+"&amp;TEXT(INT(N205/60),"00")&amp;":"&amp;TEXT(MOD(N205,60),"00"),"00:00")</x:f>
        <x:v>+00:02</x:v>
      </x:c>
      <x:c r="J205" t="str">
        <x:f>IF(O205&gt;0,"-"&amp;TEXT(INT(O205/60),"00")&amp;":"&amp;TEXT(MOD(O205,60),"00"),"00:00")</x:f>
        <x:v>00:00</x:v>
      </x:c>
      <x:c r="K205" t="n">
        <x:f>ROUND((F205-C205-IF(OR(D205="",E205=""),0,E205-D205))*1440,0)</x:f>
        <x:v>442</x:v>
      </x:c>
      <x:c r="L205" t="n">
        <x:v>440</x:v>
      </x:c>
      <x:c r="M205" t="n">
        <x:f>K205-L205</x:f>
        <x:v>2</x:v>
      </x:c>
      <x:c r="N205" t="n">
        <x:f>MAX(0,M205)</x:f>
        <x:v>2</x:v>
      </x:c>
      <x:c r="O205" t="n">
        <x:f>MAX(0,-M205)</x:f>
        <x:v>0</x:v>
      </x:c>
      <x:c r="P205" t="str">
        <x:v>Ponto registrado — complemento ilustrativo</x:v>
      </x:c>
      <x:c r="Q205" t="str">
        <x:v>Saída da CONFERÊNCIA DE CAIXA; entrada/intervalo simulados</x:v>
      </x:c>
      <x:c r="R205" t="str">
        <x:v>2025-10</x:v>
      </x:c>
    </x:row>
    <x:row r="206" ht="21" customHeight="1">
      <x:c r="A206" s="83" t="n">
        <x:v>45953</x:v>
      </x:c>
      <x:c r="B206" t="str">
        <x:v>quinta-feira</x:v>
      </x:c>
      <x:c r="C206" s="85" t="n">
        <x:v>0.5465277777777777</x:v>
      </x:c>
      <x:c r="D206" s="85" t="n">
        <x:v>0.6770833333333334</x:v>
      </x:c>
      <x:c r="E206" s="85" t="n">
        <x:v>0.7159722222222222</x:v>
      </x:c>
      <x:c r="F206" s="85" t="n">
        <x:v>0.8902777777777777</x:v>
      </x:c>
      <x:c r="G206" t="str">
        <x:f>TEXT(INT(K206/60),"00")&amp;":"&amp;TEXT(MOD(K206,60),"00")</x:f>
        <x:v>07:19</x:v>
      </x:c>
      <x:c r="H206" t="str">
        <x:f>TEXT(INT(L206/60),"00")&amp;":"&amp;TEXT(MOD(L206,60),"00")</x:f>
        <x:v>07:20</x:v>
      </x:c>
      <x:c r="I206" t="str">
        <x:f>IF(N206&gt;0,"+"&amp;TEXT(INT(N206/60),"00")&amp;":"&amp;TEXT(MOD(N206,60),"00"),"00:00")</x:f>
        <x:v>00:00</x:v>
      </x:c>
      <x:c r="J206" t="str">
        <x:f>IF(O206&gt;0,"-"&amp;TEXT(INT(O206/60),"00")&amp;":"&amp;TEXT(MOD(O206,60),"00"),"00:00")</x:f>
        <x:v>-00:01</x:v>
      </x:c>
      <x:c r="K206" t="n">
        <x:f>ROUND((F206-C206-IF(OR(D206="",E206=""),0,E206-D206))*1440,0)</x:f>
        <x:v>439</x:v>
      </x:c>
      <x:c r="L206" t="n">
        <x:v>440</x:v>
      </x:c>
      <x:c r="M206" t="n">
        <x:f>K206-L206</x:f>
        <x:v>-1</x:v>
      </x:c>
      <x:c r="N206" t="n">
        <x:f>MAX(0,M206)</x:f>
        <x:v>0</x:v>
      </x:c>
      <x:c r="O206" t="n">
        <x:f>MAX(0,-M206)</x:f>
        <x:v>1</x:v>
      </x:c>
      <x:c r="P206" t="str">
        <x:v>Ponto registrado — complemento ilustrativo</x:v>
      </x:c>
      <x:c r="Q206" t="str">
        <x:v>Saída da CONFERÊNCIA DE CAIXA; entrada/intervalo simulados</x:v>
      </x:c>
      <x:c r="R206" t="str">
        <x:v>2025-10</x:v>
      </x:c>
    </x:row>
    <x:row r="207" ht="21" customHeight="1">
      <x:c r="A207" s="83" t="n">
        <x:v>45954</x:v>
      </x:c>
      <x:c r="B207" t="str">
        <x:v>sexta-feira</x:v>
      </x:c>
      <x:c r="C207" s="85" t="n">
        <x:v>0.5451388888888888</x:v>
      </x:c>
      <x:c r="D207" s="85" t="n">
        <x:v>0.6777777777777778</x:v>
      </x:c>
      <x:c r="E207" s="85" t="n">
        <x:v>0.7222222222222222</x:v>
      </x:c>
      <x:c r="F207" s="85" t="n">
        <x:v>0.8888888888888888</x:v>
      </x:c>
      <x:c r="G207" t="str">
        <x:f>TEXT(INT(K207/60),"00")&amp;":"&amp;TEXT(MOD(K207,60),"00")</x:f>
        <x:v>07:11</x:v>
      </x:c>
      <x:c r="H207" t="str">
        <x:f>TEXT(INT(L207/60),"00")&amp;":"&amp;TEXT(MOD(L207,60),"00")</x:f>
        <x:v>07:20</x:v>
      </x:c>
      <x:c r="I207" t="str">
        <x:f>IF(N207&gt;0,"+"&amp;TEXT(INT(N207/60),"00")&amp;":"&amp;TEXT(MOD(N207,60),"00"),"00:00")</x:f>
        <x:v>00:00</x:v>
      </x:c>
      <x:c r="J207" t="str">
        <x:f>IF(O207&gt;0,"-"&amp;TEXT(INT(O207/60),"00")&amp;":"&amp;TEXT(MOD(O207,60),"00"),"00:00")</x:f>
        <x:v>-00:09</x:v>
      </x:c>
      <x:c r="K207" t="n">
        <x:f>ROUND((F207-C207-IF(OR(D207="",E207=""),0,E207-D207))*1440,0)</x:f>
        <x:v>431</x:v>
      </x:c>
      <x:c r="L207" t="n">
        <x:v>440</x:v>
      </x:c>
      <x:c r="M207" t="n">
        <x:f>K207-L207</x:f>
        <x:v>-9</x:v>
      </x:c>
      <x:c r="N207" t="n">
        <x:f>MAX(0,M207)</x:f>
        <x:v>0</x:v>
      </x:c>
      <x:c r="O207" t="n">
        <x:f>MAX(0,-M207)</x:f>
        <x:v>9</x:v>
      </x:c>
      <x:c r="P207" t="str">
        <x:v>Ponto registrado — complemento ilustrativo</x:v>
      </x:c>
      <x:c r="Q207" t="str">
        <x:v>Saída da CONFERÊNCIA DE CAIXA; entrada/intervalo simulados</x:v>
      </x:c>
      <x:c r="R207" t="str">
        <x:v>2025-10</x:v>
      </x:c>
    </x:row>
    <x:row r="208" ht="21" customHeight="1">
      <x:c r="A208" s="83" t="n">
        <x:v>45955</x:v>
      </x:c>
      <x:c r="B208" t="str">
        <x:v>sábado</x:v>
      </x:c>
      <x:c r="C208" s="85" t="n">
        <x:v>0.5416666666666666</x:v>
      </x:c>
      <x:c r="D208" s="85"/>
      <x:c r="E208" s="85"/>
      <x:c r="F208" s="85" t="n">
        <x:v>0.7020833333333333</x:v>
      </x:c>
      <x:c r="G208" t="str">
        <x:f>TEXT(INT(K208/60),"00")&amp;":"&amp;TEXT(MOD(K208,60),"00")</x:f>
        <x:v>03:51</x:v>
      </x:c>
      <x:c r="H208" t="str">
        <x:f>TEXT(INT(L208/60),"00")&amp;":"&amp;TEXT(MOD(L208,60),"00")</x:f>
        <x:v>04:00</x:v>
      </x:c>
      <x:c r="I208" t="str">
        <x:f>IF(N208&gt;0,"+"&amp;TEXT(INT(N208/60),"00")&amp;":"&amp;TEXT(MOD(N208,60),"00"),"00:00")</x:f>
        <x:v>00:00</x:v>
      </x:c>
      <x:c r="J208" t="str">
        <x:f>IF(O208&gt;0,"-"&amp;TEXT(INT(O208/60),"00")&amp;":"&amp;TEXT(MOD(O208,60),"00"),"00:00")</x:f>
        <x:v>-00:09</x:v>
      </x:c>
      <x:c r="K208" t="n">
        <x:f>ROUND((F208-C208-IF(OR(D208="",E208=""),0,E208-D208))*1440,0)</x:f>
        <x:v>231</x:v>
      </x:c>
      <x:c r="L208" t="n">
        <x:v>240</x:v>
      </x:c>
      <x:c r="M208" t="n">
        <x:f>K208-L208</x:f>
        <x:v>-9</x:v>
      </x:c>
      <x:c r="N208" t="n">
        <x:f>MAX(0,M208)</x:f>
        <x:v>0</x:v>
      </x:c>
      <x:c r="O208" t="n">
        <x:f>MAX(0,-M208)</x:f>
        <x:v>9</x:v>
      </x:c>
      <x:c r="P208" t="str">
        <x:v>Ponto registrado — complemento ilustrativo</x:v>
      </x:c>
      <x:c r="Q208" t="str">
        <x:v>Saída da CONFERÊNCIA DE CAIXA; entrada/intervalo simulados</x:v>
      </x:c>
      <x:c r="R208" t="str">
        <x:v>2025-10</x:v>
      </x:c>
    </x:row>
    <x:row r="209" ht="21" customHeight="1">
      <x:c r="A209" s="83" t="n">
        <x:v>45957</x:v>
      </x:c>
      <x:c r="B209" t="str">
        <x:v>segunda-feira</x:v>
      </x:c>
      <x:c r="C209" s="85" t="n">
        <x:v>0.5451388888888888</x:v>
      </x:c>
      <x:c r="D209" s="85" t="n">
        <x:v>0.6798611111111111</x:v>
      </x:c>
      <x:c r="E209" s="85" t="n">
        <x:v>0.7208333333333333</x:v>
      </x:c>
      <x:c r="F209" s="85" t="n">
        <x:v>0.8888888888888888</x:v>
      </x:c>
      <x:c r="G209" t="str">
        <x:f>TEXT(INT(K209/60),"00")&amp;":"&amp;TEXT(MOD(K209,60),"00")</x:f>
        <x:v>07:16</x:v>
      </x:c>
      <x:c r="H209" t="str">
        <x:f>TEXT(INT(L209/60),"00")&amp;":"&amp;TEXT(MOD(L209,60),"00")</x:f>
        <x:v>07:20</x:v>
      </x:c>
      <x:c r="I209" t="str">
        <x:f>IF(N209&gt;0,"+"&amp;TEXT(INT(N209/60),"00")&amp;":"&amp;TEXT(MOD(N209,60),"00"),"00:00")</x:f>
        <x:v>00:00</x:v>
      </x:c>
      <x:c r="J209" t="str">
        <x:f>IF(O209&gt;0,"-"&amp;TEXT(INT(O209/60),"00")&amp;":"&amp;TEXT(MOD(O209,60),"00"),"00:00")</x:f>
        <x:v>-00:04</x:v>
      </x:c>
      <x:c r="K209" t="n">
        <x:f>ROUND((F209-C209-IF(OR(D209="",E209=""),0,E209-D209))*1440,0)</x:f>
        <x:v>436</x:v>
      </x:c>
      <x:c r="L209" t="n">
        <x:v>440</x:v>
      </x:c>
      <x:c r="M209" t="n">
        <x:f>K209-L209</x:f>
        <x:v>-4</x:v>
      </x:c>
      <x:c r="N209" t="n">
        <x:f>MAX(0,M209)</x:f>
        <x:v>0</x:v>
      </x:c>
      <x:c r="O209" t="n">
        <x:f>MAX(0,-M209)</x:f>
        <x:v>4</x:v>
      </x:c>
      <x:c r="P209" t="str">
        <x:v>Ponto registrado — complemento ilustrativo</x:v>
      </x:c>
      <x:c r="Q209" t="str">
        <x:v>Saída da CONFERÊNCIA DE CAIXA; entrada/intervalo simulados</x:v>
      </x:c>
      <x:c r="R209" t="str">
        <x:v>2025-10</x:v>
      </x:c>
    </x:row>
    <x:row r="210" ht="21" customHeight="1">
      <x:c r="A210" s="83" t="n">
        <x:v>45958</x:v>
      </x:c>
      <x:c r="B210" t="str">
        <x:v>terça-feira</x:v>
      </x:c>
      <x:c r="C210" s="85" t="n">
        <x:v>0.5416666666666666</x:v>
      </x:c>
      <x:c r="D210" s="85" t="n">
        <x:v>0.6715277777777777</x:v>
      </x:c>
      <x:c r="E210" s="85" t="n">
        <x:v>0.7145833333333333</x:v>
      </x:c>
      <x:c r="F210" s="85" t="n">
        <x:v>0.8909722222222223</x:v>
      </x:c>
      <x:c r="G210" t="str">
        <x:f>TEXT(INT(K210/60),"00")&amp;":"&amp;TEXT(MOD(K210,60),"00")</x:f>
        <x:v>07:21</x:v>
      </x:c>
      <x:c r="H210" t="str">
        <x:f>TEXT(INT(L210/60),"00")&amp;":"&amp;TEXT(MOD(L210,60),"00")</x:f>
        <x:v>07:20</x:v>
      </x:c>
      <x:c r="I210" t="str">
        <x:f>IF(N210&gt;0,"+"&amp;TEXT(INT(N210/60),"00")&amp;":"&amp;TEXT(MOD(N210,60),"00"),"00:00")</x:f>
        <x:v>+00:01</x:v>
      </x:c>
      <x:c r="J210" t="str">
        <x:f>IF(O210&gt;0,"-"&amp;TEXT(INT(O210/60),"00")&amp;":"&amp;TEXT(MOD(O210,60),"00"),"00:00")</x:f>
        <x:v>00:00</x:v>
      </x:c>
      <x:c r="K210" t="n">
        <x:f>ROUND((F210-C210-IF(OR(D210="",E210=""),0,E210-D210))*1440,0)</x:f>
        <x:v>441</x:v>
      </x:c>
      <x:c r="L210" t="n">
        <x:v>440</x:v>
      </x:c>
      <x:c r="M210" t="n">
        <x:f>K210-L210</x:f>
        <x:v>1</x:v>
      </x:c>
      <x:c r="N210" t="n">
        <x:f>MAX(0,M210)</x:f>
        <x:v>1</x:v>
      </x:c>
      <x:c r="O210" t="n">
        <x:f>MAX(0,-M210)</x:f>
        <x:v>0</x:v>
      </x:c>
      <x:c r="P210" t="str">
        <x:v>Ponto registrado — complemento ilustrativo</x:v>
      </x:c>
      <x:c r="Q210" t="str">
        <x:v>Saída da CONFERÊNCIA DE CAIXA; entrada/intervalo simulados</x:v>
      </x:c>
      <x:c r="R210" t="str">
        <x:v>2025-10</x:v>
      </x:c>
    </x:row>
    <x:row r="211" ht="21" customHeight="1">
      <x:c r="A211" s="83" t="n">
        <x:v>45959</x:v>
      </x:c>
      <x:c r="B211" t="str">
        <x:v>quarta-feira</x:v>
      </x:c>
      <x:c r="C211" s="85" t="n">
        <x:v>0.5458333333333333</x:v>
      </x:c>
      <x:c r="D211" s="85" t="n">
        <x:v>0.6722222222222223</x:v>
      </x:c>
      <x:c r="E211" s="85" t="n">
        <x:v>0.7152777777777778</x:v>
      </x:c>
      <x:c r="F211" s="85" t="n">
        <x:v>0.8875</x:v>
      </x:c>
      <x:c r="G211" t="str">
        <x:f>TEXT(INT(K211/60),"00")&amp;":"&amp;TEXT(MOD(K211,60),"00")</x:f>
        <x:v>07:10</x:v>
      </x:c>
      <x:c r="H211" t="str">
        <x:f>TEXT(INT(L211/60),"00")&amp;":"&amp;TEXT(MOD(L211,60),"00")</x:f>
        <x:v>07:20</x:v>
      </x:c>
      <x:c r="I211" t="str">
        <x:f>IF(N211&gt;0,"+"&amp;TEXT(INT(N211/60),"00")&amp;":"&amp;TEXT(MOD(N211,60),"00"),"00:00")</x:f>
        <x:v>00:00</x:v>
      </x:c>
      <x:c r="J211" t="str">
        <x:f>IF(O211&gt;0,"-"&amp;TEXT(INT(O211/60),"00")&amp;":"&amp;TEXT(MOD(O211,60),"00"),"00:00")</x:f>
        <x:v>-00:10</x:v>
      </x:c>
      <x:c r="K211" t="n">
        <x:f>ROUND((F211-C211-IF(OR(D211="",E211=""),0,E211-D211))*1440,0)</x:f>
        <x:v>430</x:v>
      </x:c>
      <x:c r="L211" t="n">
        <x:v>440</x:v>
      </x:c>
      <x:c r="M211" t="n">
        <x:f>K211-L211</x:f>
        <x:v>-10</x:v>
      </x:c>
      <x:c r="N211" t="n">
        <x:f>MAX(0,M211)</x:f>
        <x:v>0</x:v>
      </x:c>
      <x:c r="O211" t="n">
        <x:f>MAX(0,-M211)</x:f>
        <x:v>10</x:v>
      </x:c>
      <x:c r="P211" t="str">
        <x:v>Ponto registrado — complemento ilustrativo</x:v>
      </x:c>
      <x:c r="Q211" t="str">
        <x:v>Saída da CONFERÊNCIA DE CAIXA; entrada/intervalo simulados</x:v>
      </x:c>
      <x:c r="R211" t="str">
        <x:v>2025-10</x:v>
      </x:c>
    </x:row>
    <x:row r="212" ht="21" customHeight="1">
      <x:c r="A212" s="83" t="n">
        <x:v>45960</x:v>
      </x:c>
      <x:c r="B212" t="str">
        <x:v>quinta-feira</x:v>
      </x:c>
      <x:c r="C212" s="85" t="n">
        <x:v>0.5465277777777777</x:v>
      </x:c>
      <x:c r="D212" s="85" t="n">
        <x:v>0.6763888888888889</x:v>
      </x:c>
      <x:c r="E212" s="85" t="n">
        <x:v>0.7173611111111111</x:v>
      </x:c>
      <x:c r="F212" s="85" t="n">
        <x:v>0.8895833333333333</x:v>
      </x:c>
      <x:c r="G212" t="str">
        <x:f>TEXT(INT(K212/60),"00")&amp;":"&amp;TEXT(MOD(K212,60),"00")</x:f>
        <x:v>07:15</x:v>
      </x:c>
      <x:c r="H212" t="str">
        <x:f>TEXT(INT(L212/60),"00")&amp;":"&amp;TEXT(MOD(L212,60),"00")</x:f>
        <x:v>07:20</x:v>
      </x:c>
      <x:c r="I212" t="str">
        <x:f>IF(N212&gt;0,"+"&amp;TEXT(INT(N212/60),"00")&amp;":"&amp;TEXT(MOD(N212,60),"00"),"00:00")</x:f>
        <x:v>00:00</x:v>
      </x:c>
      <x:c r="J212" t="str">
        <x:f>IF(O212&gt;0,"-"&amp;TEXT(INT(O212/60),"00")&amp;":"&amp;TEXT(MOD(O212,60),"00"),"00:00")</x:f>
        <x:v>-00:05</x:v>
      </x:c>
      <x:c r="K212" t="n">
        <x:f>ROUND((F212-C212-IF(OR(D212="",E212=""),0,E212-D212))*1440,0)</x:f>
        <x:v>435</x:v>
      </x:c>
      <x:c r="L212" t="n">
        <x:v>440</x:v>
      </x:c>
      <x:c r="M212" t="n">
        <x:f>K212-L212</x:f>
        <x:v>-5</x:v>
      </x:c>
      <x:c r="N212" t="n">
        <x:f>MAX(0,M212)</x:f>
        <x:v>0</x:v>
      </x:c>
      <x:c r="O212" t="n">
        <x:f>MAX(0,-M212)</x:f>
        <x:v>5</x:v>
      </x:c>
      <x:c r="P212" t="str">
        <x:v>Ponto registrado — complemento ilustrativo</x:v>
      </x:c>
      <x:c r="Q212" t="str">
        <x:v>Saída da CONFERÊNCIA DE CAIXA; entrada/intervalo simulados</x:v>
      </x:c>
      <x:c r="R212" t="str">
        <x:v>2025-10</x:v>
      </x:c>
    </x:row>
    <x:row r="213" ht="21" customHeight="1">
      <x:c r="A213" s="83" t="n">
        <x:v>45961</x:v>
      </x:c>
      <x:c r="B213" t="str">
        <x:v>sexta-feira</x:v>
      </x:c>
      <x:c r="C213" s="85" t="n">
        <x:v>0.5444444444444444</x:v>
      </x:c>
      <x:c r="D213" s="85" t="n">
        <x:v>0.6722222222222223</x:v>
      </x:c>
      <x:c r="E213" s="85" t="n">
        <x:v>0.7125</x:v>
      </x:c>
      <x:c r="F213" s="85" t="n">
        <x:v>0.8902777777777777</x:v>
      </x:c>
      <x:c r="G213" t="str">
        <x:f>TEXT(INT(K213/60),"00")&amp;":"&amp;TEXT(MOD(K213,60),"00")</x:f>
        <x:v>07:20</x:v>
      </x:c>
      <x:c r="H213" t="str">
        <x:f>TEXT(INT(L213/60),"00")&amp;":"&amp;TEXT(MOD(L213,60),"00")</x:f>
        <x:v>07:20</x:v>
      </x:c>
      <x:c r="I213" t="str">
        <x:f>IF(N213&gt;0,"+"&amp;TEXT(INT(N213/60),"00")&amp;":"&amp;TEXT(MOD(N213,60),"00"),"00:00")</x:f>
        <x:v>00:00</x:v>
      </x:c>
      <x:c r="J213" t="str">
        <x:f>IF(O213&gt;0,"-"&amp;TEXT(INT(O213/60),"00")&amp;":"&amp;TEXT(MOD(O213,60),"00"),"00:00")</x:f>
        <x:v>00:00</x:v>
      </x:c>
      <x:c r="K213" t="n">
        <x:f>ROUND((F213-C213-IF(OR(D213="",E213=""),0,E213-D213))*1440,0)</x:f>
        <x:v>440</x:v>
      </x:c>
      <x:c r="L213" t="n">
        <x:v>440</x:v>
      </x:c>
      <x:c r="M213" t="n">
        <x:f>K213-L213</x:f>
        <x:v>0</x:v>
      </x:c>
      <x:c r="N213" t="n">
        <x:f>MAX(0,M213)</x:f>
        <x:v>0</x:v>
      </x:c>
      <x:c r="O213" t="n">
        <x:f>MAX(0,-M213)</x:f>
        <x:v>0</x:v>
      </x:c>
      <x:c r="P213" t="str">
        <x:v>Ponto registrado — complemento ilustrativo</x:v>
      </x:c>
      <x:c r="Q213" t="str">
        <x:v>Saída da CONFERÊNCIA DE CAIXA; entrada/intervalo simulados</x:v>
      </x:c>
      <x:c r="R213" t="str">
        <x:v>2025-10</x:v>
      </x:c>
    </x:row>
    <x:row r="214" ht="21" customHeight="1">
      <x:c r="A214" s="83" t="n">
        <x:v>45962</x:v>
      </x:c>
      <x:c r="B214" t="str">
        <x:v>sábado</x:v>
      </x:c>
      <x:c r="C214" s="85" t="n">
        <x:v>0.5381944444444444</x:v>
      </x:c>
      <x:c r="D214" s="85" t="n">
        <x:v>0.6770833333333334</x:v>
      </x:c>
      <x:c r="E214" s="85" t="n">
        <x:v>0.6875</x:v>
      </x:c>
      <x:c r="F214" s="85" t="n">
        <x:v>0.7097222222222223</x:v>
      </x:c>
      <x:c r="G214" t="str">
        <x:f>TEXT(INT(K214/60),"00")&amp;":"&amp;TEXT(MOD(K214,60),"00")</x:f>
        <x:v>03:52</x:v>
      </x:c>
      <x:c r="H214" t="str">
        <x:f>TEXT(INT(L214/60),"00")&amp;":"&amp;TEXT(MOD(L214,60),"00")</x:f>
        <x:v>04:00</x:v>
      </x:c>
      <x:c r="I214" t="str">
        <x:f>IF(N214&gt;0,"+"&amp;TEXT(INT(N214/60),"00")&amp;":"&amp;TEXT(MOD(N214,60),"00"),"00:00")</x:f>
        <x:v>00:00</x:v>
      </x:c>
      <x:c r="J214" t="str">
        <x:f>IF(O214&gt;0,"-"&amp;TEXT(INT(O214/60),"00")&amp;":"&amp;TEXT(MOD(O214,60),"00"),"00:00")</x:f>
        <x:v>-00:08</x:v>
      </x:c>
      <x:c r="K214" t="n">
        <x:f>ROUND((F214-C214-IF(OR(D214="",E214=""),0,E214-D214))*1440,0)</x:f>
        <x:v>232</x:v>
      </x:c>
      <x:c r="L214" t="n">
        <x:v>240</x:v>
      </x:c>
      <x:c r="M214" t="n">
        <x:f>K214-L214</x:f>
        <x:v>-8</x:v>
      </x:c>
      <x:c r="N214" t="n">
        <x:f>MAX(0,M214)</x:f>
        <x:v>0</x:v>
      </x:c>
      <x:c r="O214" t="n">
        <x:f>MAX(0,-M214)</x:f>
        <x:v>8</x:v>
      </x:c>
      <x:c r="P214" t="str">
        <x:v>Ponto registrado — complemento ilustrativo</x:v>
      </x:c>
      <x:c r="Q214" t="str">
        <x:v>Saída da CONFERÊNCIA DE CAIXA; entrada/intervalo simulados</x:v>
      </x:c>
      <x:c r="R214" t="str">
        <x:v>2025-11</x:v>
      </x:c>
    </x:row>
    <x:row r="215" ht="21" customHeight="1">
      <x:c r="A215" s="83" t="n">
        <x:v>45964</x:v>
      </x:c>
      <x:c r="B215" t="str">
        <x:v>segunda-feira</x:v>
      </x:c>
      <x:c r="C215" s="85" t="n">
        <x:v>0.5381944444444444</x:v>
      </x:c>
      <x:c r="D215" s="85" t="n">
        <x:v>0.6763888888888889</x:v>
      </x:c>
      <x:c r="E215" s="85" t="n">
        <x:v>0.7159722222222222</x:v>
      </x:c>
      <x:c r="F215" s="85" t="n">
        <x:v>0.8819444444444444</x:v>
      </x:c>
      <x:c r="G215" t="str">
        <x:f>TEXT(INT(K215/60),"00")&amp;":"&amp;TEXT(MOD(K215,60),"00")</x:f>
        <x:v>07:18</x:v>
      </x:c>
      <x:c r="H215" t="str">
        <x:f>TEXT(INT(L215/60),"00")&amp;":"&amp;TEXT(MOD(L215,60),"00")</x:f>
        <x:v>07:20</x:v>
      </x:c>
      <x:c r="I215" t="str">
        <x:f>IF(N215&gt;0,"+"&amp;TEXT(INT(N215/60),"00")&amp;":"&amp;TEXT(MOD(N215,60),"00"),"00:00")</x:f>
        <x:v>00:00</x:v>
      </x:c>
      <x:c r="J215" t="str">
        <x:f>IF(O215&gt;0,"-"&amp;TEXT(INT(O215/60),"00")&amp;":"&amp;TEXT(MOD(O215,60),"00"),"00:00")</x:f>
        <x:v>-00:02</x:v>
      </x:c>
      <x:c r="K215" t="n">
        <x:f>ROUND((F215-C215-IF(OR(D215="",E215=""),0,E215-D215))*1440,0)</x:f>
        <x:v>438</x:v>
      </x:c>
      <x:c r="L215" t="n">
        <x:v>440</x:v>
      </x:c>
      <x:c r="M215" t="n">
        <x:f>K215-L215</x:f>
        <x:v>-2</x:v>
      </x:c>
      <x:c r="N215" t="n">
        <x:f>MAX(0,M215)</x:f>
        <x:v>0</x:v>
      </x:c>
      <x:c r="O215" t="n">
        <x:f>MAX(0,-M215)</x:f>
        <x:v>2</x:v>
      </x:c>
      <x:c r="P215" t="str">
        <x:v>Ponto registrado — complemento ilustrativo</x:v>
      </x:c>
      <x:c r="Q215" t="str">
        <x:v>Saída da CONFERÊNCIA DE CAIXA; entrada/intervalo simulados</x:v>
      </x:c>
      <x:c r="R215" t="str">
        <x:v>2025-11</x:v>
      </x:c>
    </x:row>
    <x:row r="216" ht="21" customHeight="1">
      <x:c r="A216" s="83" t="n">
        <x:v>45965</x:v>
      </x:c>
      <x:c r="B216" t="str">
        <x:v>terça-feira</x:v>
      </x:c>
      <x:c r="C216" s="85" t="n">
        <x:v>0.5416666666666666</x:v>
      </x:c>
      <x:c r="D216" s="85" t="n">
        <x:v>0.6680555555555555</x:v>
      </x:c>
      <x:c r="E216" s="85" t="n">
        <x:v>0.7090277777777778</x:v>
      </x:c>
      <x:c r="F216" s="85" t="n">
        <x:v>0.8895833333333333</x:v>
      </x:c>
      <x:c r="G216" t="str">
        <x:f>TEXT(INT(K216/60),"00")&amp;":"&amp;TEXT(MOD(K216,60),"00")</x:f>
        <x:v>07:22</x:v>
      </x:c>
      <x:c r="H216" t="str">
        <x:f>TEXT(INT(L216/60),"00")&amp;":"&amp;TEXT(MOD(L216,60),"00")</x:f>
        <x:v>07:20</x:v>
      </x:c>
      <x:c r="I216" t="str">
        <x:f>IF(N216&gt;0,"+"&amp;TEXT(INT(N216/60),"00")&amp;":"&amp;TEXT(MOD(N216,60),"00"),"00:00")</x:f>
        <x:v>+00:02</x:v>
      </x:c>
      <x:c r="J216" t="str">
        <x:f>IF(O216&gt;0,"-"&amp;TEXT(INT(O216/60),"00")&amp;":"&amp;TEXT(MOD(O216,60),"00"),"00:00")</x:f>
        <x:v>00:00</x:v>
      </x:c>
      <x:c r="K216" t="n">
        <x:f>ROUND((F216-C216-IF(OR(D216="",E216=""),0,E216-D216))*1440,0)</x:f>
        <x:v>442</x:v>
      </x:c>
      <x:c r="L216" t="n">
        <x:v>440</x:v>
      </x:c>
      <x:c r="M216" t="n">
        <x:f>K216-L216</x:f>
        <x:v>2</x:v>
      </x:c>
      <x:c r="N216" t="n">
        <x:f>MAX(0,M216)</x:f>
        <x:v>2</x:v>
      </x:c>
      <x:c r="O216" t="n">
        <x:f>MAX(0,-M216)</x:f>
        <x:v>0</x:v>
      </x:c>
      <x:c r="P216" t="str">
        <x:v>Ponto registrado — complemento ilustrativo</x:v>
      </x:c>
      <x:c r="Q216" t="str">
        <x:v>Saída da CONFERÊNCIA DE CAIXA; entrada/intervalo simulados</x:v>
      </x:c>
      <x:c r="R216" t="str">
        <x:v>2025-11</x:v>
      </x:c>
    </x:row>
    <x:row r="217" ht="21" customHeight="1">
      <x:c r="A217" s="83" t="n">
        <x:v>45966</x:v>
      </x:c>
      <x:c r="B217" t="str">
        <x:v>quarta-feira</x:v>
      </x:c>
      <x:c r="C217" s="85" t="n">
        <x:v>0.5451388888888888</x:v>
      </x:c>
      <x:c r="D217" s="85" t="n">
        <x:v>0.6791666666666667</x:v>
      </x:c>
      <x:c r="E217" s="85" t="n">
        <x:v>0.7201388888888889</x:v>
      </x:c>
      <x:c r="F217" s="85" t="n">
        <x:v>0.8888888888888888</x:v>
      </x:c>
      <x:c r="G217" t="str">
        <x:f>TEXT(INT(K217/60),"00")&amp;":"&amp;TEXT(MOD(K217,60),"00")</x:f>
        <x:v>07:16</x:v>
      </x:c>
      <x:c r="H217" t="str">
        <x:f>TEXT(INT(L217/60),"00")&amp;":"&amp;TEXT(MOD(L217,60),"00")</x:f>
        <x:v>07:20</x:v>
      </x:c>
      <x:c r="I217" t="str">
        <x:f>IF(N217&gt;0,"+"&amp;TEXT(INT(N217/60),"00")&amp;":"&amp;TEXT(MOD(N217,60),"00"),"00:00")</x:f>
        <x:v>00:00</x:v>
      </x:c>
      <x:c r="J217" t="str">
        <x:f>IF(O217&gt;0,"-"&amp;TEXT(INT(O217/60),"00")&amp;":"&amp;TEXT(MOD(O217,60),"00"),"00:00")</x:f>
        <x:v>-00:04</x:v>
      </x:c>
      <x:c r="K217" t="n">
        <x:f>ROUND((F217-C217-IF(OR(D217="",E217=""),0,E217-D217))*1440,0)</x:f>
        <x:v>436</x:v>
      </x:c>
      <x:c r="L217" t="n">
        <x:v>440</x:v>
      </x:c>
      <x:c r="M217" t="n">
        <x:f>K217-L217</x:f>
        <x:v>-4</x:v>
      </x:c>
      <x:c r="N217" t="n">
        <x:f>MAX(0,M217)</x:f>
        <x:v>0</x:v>
      </x:c>
      <x:c r="O217" t="n">
        <x:f>MAX(0,-M217)</x:f>
        <x:v>4</x:v>
      </x:c>
      <x:c r="P217" t="str">
        <x:v>Ponto registrado — complemento ilustrativo</x:v>
      </x:c>
      <x:c r="Q217" t="str">
        <x:v>Saída da CONFERÊNCIA DE CAIXA; entrada/intervalo simulados</x:v>
      </x:c>
      <x:c r="R217" t="str">
        <x:v>2025-11</x:v>
      </x:c>
    </x:row>
    <x:row r="218" ht="21" customHeight="1">
      <x:c r="A218" s="83" t="n">
        <x:v>45967</x:v>
      </x:c>
      <x:c r="B218" t="str">
        <x:v>quinta-feira</x:v>
      </x:c>
      <x:c r="C218" s="85" t="n">
        <x:v>0.5409722222222222</x:v>
      </x:c>
      <x:c r="D218" s="85" t="n">
        <x:v>0.6743055555555556</x:v>
      </x:c>
      <x:c r="E218" s="85" t="n">
        <x:v>0.7138888888888889</x:v>
      </x:c>
      <x:c r="F218" s="85" t="n">
        <x:v>0.8909722222222223</x:v>
      </x:c>
      <x:c r="G218" t="str">
        <x:f>TEXT(INT(K218/60),"00")&amp;":"&amp;TEXT(MOD(K218,60),"00")</x:f>
        <x:v>07:27</x:v>
      </x:c>
      <x:c r="H218" t="str">
        <x:f>TEXT(INT(L218/60),"00")&amp;":"&amp;TEXT(MOD(L218,60),"00")</x:f>
        <x:v>07:20</x:v>
      </x:c>
      <x:c r="I218" t="str">
        <x:f>IF(N218&gt;0,"+"&amp;TEXT(INT(N218/60),"00")&amp;":"&amp;TEXT(MOD(N218,60),"00"),"00:00")</x:f>
        <x:v>+00:07</x:v>
      </x:c>
      <x:c r="J218" t="str">
        <x:f>IF(O218&gt;0,"-"&amp;TEXT(INT(O218/60),"00")&amp;":"&amp;TEXT(MOD(O218,60),"00"),"00:00")</x:f>
        <x:v>00:00</x:v>
      </x:c>
      <x:c r="K218" t="n">
        <x:f>ROUND((F218-C218-IF(OR(D218="",E218=""),0,E218-D218))*1440,0)</x:f>
        <x:v>447</x:v>
      </x:c>
      <x:c r="L218" t="n">
        <x:v>440</x:v>
      </x:c>
      <x:c r="M218" t="n">
        <x:f>K218-L218</x:f>
        <x:v>7</x:v>
      </x:c>
      <x:c r="N218" t="n">
        <x:f>MAX(0,M218)</x:f>
        <x:v>7</x:v>
      </x:c>
      <x:c r="O218" t="n">
        <x:f>MAX(0,-M218)</x:f>
        <x:v>0</x:v>
      </x:c>
      <x:c r="P218" t="str">
        <x:v>Ponto registrado — complemento ilustrativo</x:v>
      </x:c>
      <x:c r="Q218" t="str">
        <x:v>Saída da CONFERÊNCIA DE CAIXA; entrada/intervalo simulados</x:v>
      </x:c>
      <x:c r="R218" t="str">
        <x:v>2025-11</x:v>
      </x:c>
    </x:row>
    <x:row r="219" ht="21" customHeight="1">
      <x:c r="A219" s="83" t="n">
        <x:v>45968</x:v>
      </x:c>
      <x:c r="B219" t="str">
        <x:v>sexta-feira</x:v>
      </x:c>
      <x:c r="C219" s="85" t="n">
        <x:v>0.5395833333333333</x:v>
      </x:c>
      <x:c r="D219" s="85" t="n">
        <x:v>0.6756944444444445</x:v>
      </x:c>
      <x:c r="E219" s="85" t="n">
        <x:v>0.7173611111111111</x:v>
      </x:c>
      <x:c r="F219" s="85" t="n">
        <x:v>0.8868055555555555</x:v>
      </x:c>
      <x:c r="G219" t="str">
        <x:f>TEXT(INT(K219/60),"00")&amp;":"&amp;TEXT(MOD(K219,60),"00")</x:f>
        <x:v>07:20</x:v>
      </x:c>
      <x:c r="H219" t="str">
        <x:f>TEXT(INT(L219/60),"00")&amp;":"&amp;TEXT(MOD(L219,60),"00")</x:f>
        <x:v>07:20</x:v>
      </x:c>
      <x:c r="I219" t="str">
        <x:f>IF(N219&gt;0,"+"&amp;TEXT(INT(N219/60),"00")&amp;":"&amp;TEXT(MOD(N219,60),"00"),"00:00")</x:f>
        <x:v>00:00</x:v>
      </x:c>
      <x:c r="J219" t="str">
        <x:f>IF(O219&gt;0,"-"&amp;TEXT(INT(O219/60),"00")&amp;":"&amp;TEXT(MOD(O219,60),"00"),"00:00")</x:f>
        <x:v>00:00</x:v>
      </x:c>
      <x:c r="K219" t="n">
        <x:f>ROUND((F219-C219-IF(OR(D219="",E219=""),0,E219-D219))*1440,0)</x:f>
        <x:v>440</x:v>
      </x:c>
      <x:c r="L219" t="n">
        <x:v>440</x:v>
      </x:c>
      <x:c r="M219" t="n">
        <x:f>K219-L219</x:f>
        <x:v>0</x:v>
      </x:c>
      <x:c r="N219" t="n">
        <x:f>MAX(0,M219)</x:f>
        <x:v>0</x:v>
      </x:c>
      <x:c r="O219" t="n">
        <x:f>MAX(0,-M219)</x:f>
        <x:v>0</x:v>
      </x:c>
      <x:c r="P219" t="str">
        <x:v>Ponto registrado — complemento ilustrativo</x:v>
      </x:c>
      <x:c r="Q219" t="str">
        <x:v>Saída da CONFERÊNCIA DE CAIXA; entrada/intervalo simulados</x:v>
      </x:c>
      <x:c r="R219" t="str">
        <x:v>2025-11</x:v>
      </x:c>
    </x:row>
    <x:row r="220" ht="21" customHeight="1">
      <x:c r="A220" s="83" t="n">
        <x:v>45969</x:v>
      </x:c>
      <x:c r="B220" t="str">
        <x:v>sábado</x:v>
      </x:c>
      <x:c r="C220" s="85" t="n">
        <x:v>0.5409722222222222</x:v>
      </x:c>
      <x:c r="D220" s="85" t="n">
        <x:v>0.6493055555555556</x:v>
      </x:c>
      <x:c r="E220" s="85" t="n">
        <x:v>0.6597222222222222</x:v>
      </x:c>
      <x:c r="F220" s="85" t="n">
        <x:v>0.7104166666666667</x:v>
      </x:c>
      <x:c r="G220" t="str">
        <x:f>TEXT(INT(K220/60),"00")&amp;":"&amp;TEXT(MOD(K220,60),"00")</x:f>
        <x:v>03:49</x:v>
      </x:c>
      <x:c r="H220" t="str">
        <x:f>TEXT(INT(L220/60),"00")&amp;":"&amp;TEXT(MOD(L220,60),"00")</x:f>
        <x:v>04:00</x:v>
      </x:c>
      <x:c r="I220" t="str">
        <x:f>IF(N220&gt;0,"+"&amp;TEXT(INT(N220/60),"00")&amp;":"&amp;TEXT(MOD(N220,60),"00"),"00:00")</x:f>
        <x:v>00:00</x:v>
      </x:c>
      <x:c r="J220" t="str">
        <x:f>IF(O220&gt;0,"-"&amp;TEXT(INT(O220/60),"00")&amp;":"&amp;TEXT(MOD(O220,60),"00"),"00:00")</x:f>
        <x:v>-00:11</x:v>
      </x:c>
      <x:c r="K220" t="n">
        <x:f>ROUND((F220-C220-IF(OR(D220="",E220=""),0,E220-D220))*1440,0)</x:f>
        <x:v>229</x:v>
      </x:c>
      <x:c r="L220" t="n">
        <x:v>240</x:v>
      </x:c>
      <x:c r="M220" t="n">
        <x:f>K220-L220</x:f>
        <x:v>-11</x:v>
      </x:c>
      <x:c r="N220" t="n">
        <x:f>MAX(0,M220)</x:f>
        <x:v>0</x:v>
      </x:c>
      <x:c r="O220" t="n">
        <x:f>MAX(0,-M220)</x:f>
        <x:v>11</x:v>
      </x:c>
      <x:c r="P220" t="str">
        <x:v>Ponto registrado — complemento ilustrativo</x:v>
      </x:c>
      <x:c r="Q220" t="str">
        <x:v>Saída da CONFERÊNCIA DE CAIXA; entrada/intervalo simulados</x:v>
      </x:c>
      <x:c r="R220" t="str">
        <x:v>2025-11</x:v>
      </x:c>
    </x:row>
    <x:row r="221" ht="21" customHeight="1">
      <x:c r="A221" s="83" t="n">
        <x:v>45971</x:v>
      </x:c>
      <x:c r="B221" t="str">
        <x:v>segunda-feira</x:v>
      </x:c>
      <x:c r="C221" s="85" t="n">
        <x:v>0.5444444444444444</x:v>
      </x:c>
      <x:c r="D221" s="85" t="n">
        <x:v>0.6736111111111112</x:v>
      </x:c>
      <x:c r="E221" s="85" t="n">
        <x:v>0.7173611111111111</x:v>
      </x:c>
      <x:c r="F221" s="85" t="n">
        <x:v>0.8861111111111111</x:v>
      </x:c>
      <x:c r="G221" t="str">
        <x:f>TEXT(INT(K221/60),"00")&amp;":"&amp;TEXT(MOD(K221,60),"00")</x:f>
        <x:v>07:09</x:v>
      </x:c>
      <x:c r="H221" t="str">
        <x:f>TEXT(INT(L221/60),"00")&amp;":"&amp;TEXT(MOD(L221,60),"00")</x:f>
        <x:v>07:20</x:v>
      </x:c>
      <x:c r="I221" t="str">
        <x:f>IF(N221&gt;0,"+"&amp;TEXT(INT(N221/60),"00")&amp;":"&amp;TEXT(MOD(N221,60),"00"),"00:00")</x:f>
        <x:v>00:00</x:v>
      </x:c>
      <x:c r="J221" t="str">
        <x:f>IF(O221&gt;0,"-"&amp;TEXT(INT(O221/60),"00")&amp;":"&amp;TEXT(MOD(O221,60),"00"),"00:00")</x:f>
        <x:v>-00:11</x:v>
      </x:c>
      <x:c r="K221" t="n">
        <x:f>ROUND((F221-C221-IF(OR(D221="",E221=""),0,E221-D221))*1440,0)</x:f>
        <x:v>429</x:v>
      </x:c>
      <x:c r="L221" t="n">
        <x:v>440</x:v>
      </x:c>
      <x:c r="M221" t="n">
        <x:f>K221-L221</x:f>
        <x:v>-11</x:v>
      </x:c>
      <x:c r="N221" t="n">
        <x:f>MAX(0,M221)</x:f>
        <x:v>0</x:v>
      </x:c>
      <x:c r="O221" t="n">
        <x:f>MAX(0,-M221)</x:f>
        <x:v>11</x:v>
      </x:c>
      <x:c r="P221" t="str">
        <x:v>Ponto registrado — complemento ilustrativo</x:v>
      </x:c>
      <x:c r="Q221" t="str">
        <x:v>Saída da CONFERÊNCIA DE CAIXA; entrada/intervalo simulados</x:v>
      </x:c>
      <x:c r="R221" t="str">
        <x:v>2025-11</x:v>
      </x:c>
    </x:row>
    <x:row r="222" ht="21" customHeight="1">
      <x:c r="A222" s="83" t="n">
        <x:v>45972</x:v>
      </x:c>
      <x:c r="B222" t="str">
        <x:v>terça-feira</x:v>
      </x:c>
      <x:c r="C222" s="85" t="n">
        <x:v>0.54375</x:v>
      </x:c>
      <x:c r="D222" s="85" t="n">
        <x:v>0.6791666666666667</x:v>
      </x:c>
      <x:c r="E222" s="85" t="n">
        <x:v>0.71875</x:v>
      </x:c>
      <x:c r="F222" s="85" t="n">
        <x:v>0.8902777777777777</x:v>
      </x:c>
      <x:c r="G222" t="str">
        <x:f>TEXT(INT(K222/60),"00")&amp;":"&amp;TEXT(MOD(K222,60),"00")</x:f>
        <x:v>07:22</x:v>
      </x:c>
      <x:c r="H222" t="str">
        <x:f>TEXT(INT(L222/60),"00")&amp;":"&amp;TEXT(MOD(L222,60),"00")</x:f>
        <x:v>07:20</x:v>
      </x:c>
      <x:c r="I222" t="str">
        <x:f>IF(N222&gt;0,"+"&amp;TEXT(INT(N222/60),"00")&amp;":"&amp;TEXT(MOD(N222,60),"00"),"00:00")</x:f>
        <x:v>+00:02</x:v>
      </x:c>
      <x:c r="J222" t="str">
        <x:f>IF(O222&gt;0,"-"&amp;TEXT(INT(O222/60),"00")&amp;":"&amp;TEXT(MOD(O222,60),"00"),"00:00")</x:f>
        <x:v>00:00</x:v>
      </x:c>
      <x:c r="K222" t="n">
        <x:f>ROUND((F222-C222-IF(OR(D222="",E222=""),0,E222-D222))*1440,0)</x:f>
        <x:v>442</x:v>
      </x:c>
      <x:c r="L222" t="n">
        <x:v>440</x:v>
      </x:c>
      <x:c r="M222" t="n">
        <x:f>K222-L222</x:f>
        <x:v>2</x:v>
      </x:c>
      <x:c r="N222" t="n">
        <x:f>MAX(0,M222)</x:f>
        <x:v>2</x:v>
      </x:c>
      <x:c r="O222" t="n">
        <x:f>MAX(0,-M222)</x:f>
        <x:v>0</x:v>
      </x:c>
      <x:c r="P222" t="str">
        <x:v>Ponto registrado — complemento ilustrativo</x:v>
      </x:c>
      <x:c r="Q222" t="str">
        <x:v>Saída da CONFERÊNCIA DE CAIXA; entrada/intervalo simulados</x:v>
      </x:c>
      <x:c r="R222" t="str">
        <x:v>2025-11</x:v>
      </x:c>
    </x:row>
    <x:row r="223" ht="21" customHeight="1">
      <x:c r="A223" s="83" t="n">
        <x:v>45973</x:v>
      </x:c>
      <x:c r="B223" t="str">
        <x:v>quarta-feira</x:v>
      </x:c>
      <x:c r="C223" s="85" t="n">
        <x:v>0.5395833333333333</x:v>
      </x:c>
      <x:c r="D223" s="85" t="n">
        <x:v>0.6673611111111111</x:v>
      </x:c>
      <x:c r="E223" s="85" t="n">
        <x:v>0.7069444444444445</x:v>
      </x:c>
      <x:c r="F223" s="85" t="n">
        <x:v>0.8909722222222223</x:v>
      </x:c>
      <x:c r="G223" t="str">
        <x:f>TEXT(INT(K223/60),"00")&amp;":"&amp;TEXT(MOD(K223,60),"00")</x:f>
        <x:v>07:29</x:v>
      </x:c>
      <x:c r="H223" t="str">
        <x:f>TEXT(INT(L223/60),"00")&amp;":"&amp;TEXT(MOD(L223,60),"00")</x:f>
        <x:v>07:20</x:v>
      </x:c>
      <x:c r="I223" t="str">
        <x:f>IF(N223&gt;0,"+"&amp;TEXT(INT(N223/60),"00")&amp;":"&amp;TEXT(MOD(N223,60),"00"),"00:00")</x:f>
        <x:v>+00:09</x:v>
      </x:c>
      <x:c r="J223" t="str">
        <x:f>IF(O223&gt;0,"-"&amp;TEXT(INT(O223/60),"00")&amp;":"&amp;TEXT(MOD(O223,60),"00"),"00:00")</x:f>
        <x:v>00:00</x:v>
      </x:c>
      <x:c r="K223" t="n">
        <x:f>ROUND((F223-C223-IF(OR(D223="",E223=""),0,E223-D223))*1440,0)</x:f>
        <x:v>449</x:v>
      </x:c>
      <x:c r="L223" t="n">
        <x:v>440</x:v>
      </x:c>
      <x:c r="M223" t="n">
        <x:f>K223-L223</x:f>
        <x:v>9</x:v>
      </x:c>
      <x:c r="N223" t="n">
        <x:f>MAX(0,M223)</x:f>
        <x:v>9</x:v>
      </x:c>
      <x:c r="O223" t="n">
        <x:f>MAX(0,-M223)</x:f>
        <x:v>0</x:v>
      </x:c>
      <x:c r="P223" t="str">
        <x:v>Ponto registrado — complemento ilustrativo</x:v>
      </x:c>
      <x:c r="Q223" t="str">
        <x:v>Saída da CONFERÊNCIA DE CAIXA; entrada/intervalo simulados</x:v>
      </x:c>
      <x:c r="R223" t="str">
        <x:v>2025-11</x:v>
      </x:c>
    </x:row>
    <x:row r="224" ht="21" customHeight="1">
      <x:c r="A224" s="83" t="n">
        <x:v>45974</x:v>
      </x:c>
      <x:c r="B224" t="str">
        <x:v>quinta-feira</x:v>
      </x:c>
      <x:c r="C224" s="85" t="n">
        <x:v>0.5375</x:v>
      </x:c>
      <x:c r="D224" s="85" t="n">
        <x:v>0.6791666666666667</x:v>
      </x:c>
      <x:c r="E224" s="85" t="n">
        <x:v>0.71875</x:v>
      </x:c>
      <x:c r="F224" s="85" t="n">
        <x:v>0.8895833333333333</x:v>
      </x:c>
      <x:c r="G224" t="str">
        <x:f>TEXT(INT(K224/60),"00")&amp;":"&amp;TEXT(MOD(K224,60),"00")</x:f>
        <x:v>07:30</x:v>
      </x:c>
      <x:c r="H224" t="str">
        <x:f>TEXT(INT(L224/60),"00")&amp;":"&amp;TEXT(MOD(L224,60),"00")</x:f>
        <x:v>07:20</x:v>
      </x:c>
      <x:c r="I224" t="str">
        <x:f>IF(N224&gt;0,"+"&amp;TEXT(INT(N224/60),"00")&amp;":"&amp;TEXT(MOD(N224,60),"00"),"00:00")</x:f>
        <x:v>+00:10</x:v>
      </x:c>
      <x:c r="J224" t="str">
        <x:f>IF(O224&gt;0,"-"&amp;TEXT(INT(O224/60),"00")&amp;":"&amp;TEXT(MOD(O224,60),"00"),"00:00")</x:f>
        <x:v>00:00</x:v>
      </x:c>
      <x:c r="K224" t="n">
        <x:f>ROUND((F224-C224-IF(OR(D224="",E224=""),0,E224-D224))*1440,0)</x:f>
        <x:v>450</x:v>
      </x:c>
      <x:c r="L224" t="n">
        <x:v>440</x:v>
      </x:c>
      <x:c r="M224" t="n">
        <x:f>K224-L224</x:f>
        <x:v>10</x:v>
      </x:c>
      <x:c r="N224" t="n">
        <x:f>MAX(0,M224)</x:f>
        <x:v>10</x:v>
      </x:c>
      <x:c r="O224" t="n">
        <x:f>MAX(0,-M224)</x:f>
        <x:v>0</x:v>
      </x:c>
      <x:c r="P224" t="str">
        <x:v>Ponto registrado — complemento ilustrativo</x:v>
      </x:c>
      <x:c r="Q224" t="str">
        <x:v>Saída da CONFERÊNCIA DE CAIXA; entrada/intervalo simulados</x:v>
      </x:c>
      <x:c r="R224" t="str">
        <x:v>2025-11</x:v>
      </x:c>
    </x:row>
    <x:row r="225" ht="21" customHeight="1">
      <x:c r="A225" s="83" t="n">
        <x:v>45975</x:v>
      </x:c>
      <x:c r="B225" t="str">
        <x:v>sexta-feira</x:v>
      </x:c>
      <x:c r="C225" s="85" t="n">
        <x:v>0.5430555555555555</x:v>
      </x:c>
      <x:c r="D225" s="85" t="n">
        <x:v>0.6701388888888888</x:v>
      </x:c>
      <x:c r="E225" s="85" t="n">
        <x:v>0.7090277777777778</x:v>
      </x:c>
      <x:c r="F225" s="85" t="n">
        <x:v>0.8909722222222223</x:v>
      </x:c>
      <x:c r="G225" t="str">
        <x:f>TEXT(INT(K225/60),"00")&amp;":"&amp;TEXT(MOD(K225,60),"00")</x:f>
        <x:v>07:25</x:v>
      </x:c>
      <x:c r="H225" t="str">
        <x:f>TEXT(INT(L225/60),"00")&amp;":"&amp;TEXT(MOD(L225,60),"00")</x:f>
        <x:v>07:20</x:v>
      </x:c>
      <x:c r="I225" t="str">
        <x:f>IF(N225&gt;0,"+"&amp;TEXT(INT(N225/60),"00")&amp;":"&amp;TEXT(MOD(N225,60),"00"),"00:00")</x:f>
        <x:v>+00:05</x:v>
      </x:c>
      <x:c r="J225" t="str">
        <x:f>IF(O225&gt;0,"-"&amp;TEXT(INT(O225/60),"00")&amp;":"&amp;TEXT(MOD(O225,60),"00"),"00:00")</x:f>
        <x:v>00:00</x:v>
      </x:c>
      <x:c r="K225" t="n">
        <x:f>ROUND((F225-C225-IF(OR(D225="",E225=""),0,E225-D225))*1440,0)</x:f>
        <x:v>445</x:v>
      </x:c>
      <x:c r="L225" t="n">
        <x:v>440</x:v>
      </x:c>
      <x:c r="M225" t="n">
        <x:f>K225-L225</x:f>
        <x:v>5</x:v>
      </x:c>
      <x:c r="N225" t="n">
        <x:f>MAX(0,M225)</x:f>
        <x:v>5</x:v>
      </x:c>
      <x:c r="O225" t="n">
        <x:f>MAX(0,-M225)</x:f>
        <x:v>0</x:v>
      </x:c>
      <x:c r="P225" t="str">
        <x:v>Ponto registrado — complemento ilustrativo</x:v>
      </x:c>
      <x:c r="Q225" t="str">
        <x:v>Saída da CONFERÊNCIA DE CAIXA; entrada/intervalo simulados</x:v>
      </x:c>
      <x:c r="R225" t="str">
        <x:v>2025-11</x:v>
      </x:c>
    </x:row>
    <x:row r="226" ht="21" customHeight="1">
      <x:c r="A226" s="83" t="n">
        <x:v>45976</x:v>
      </x:c>
      <x:c r="B226" t="str">
        <x:v>sábado</x:v>
      </x:c>
      <x:c r="C226" s="85" t="n">
        <x:v>0.5409722222222222</x:v>
      </x:c>
      <x:c r="D226" s="85"/>
      <x:c r="E226" s="85"/>
      <x:c r="F226" s="85" t="n">
        <x:v>0.7034722222222223</x:v>
      </x:c>
      <x:c r="G226" t="str">
        <x:f>TEXT(INT(K226/60),"00")&amp;":"&amp;TEXT(MOD(K226,60),"00")</x:f>
        <x:v>03:54</x:v>
      </x:c>
      <x:c r="H226" t="str">
        <x:f>TEXT(INT(L226/60),"00")&amp;":"&amp;TEXT(MOD(L226,60),"00")</x:f>
        <x:v>04:00</x:v>
      </x:c>
      <x:c r="I226" t="str">
        <x:f>IF(N226&gt;0,"+"&amp;TEXT(INT(N226/60),"00")&amp;":"&amp;TEXT(MOD(N226,60),"00"),"00:00")</x:f>
        <x:v>00:00</x:v>
      </x:c>
      <x:c r="J226" t="str">
        <x:f>IF(O226&gt;0,"-"&amp;TEXT(INT(O226/60),"00")&amp;":"&amp;TEXT(MOD(O226,60),"00"),"00:00")</x:f>
        <x:v>-00:06</x:v>
      </x:c>
      <x:c r="K226" t="n">
        <x:f>ROUND((F226-C226-IF(OR(D226="",E226=""),0,E226-D226))*1440,0)</x:f>
        <x:v>234</x:v>
      </x:c>
      <x:c r="L226" t="n">
        <x:v>240</x:v>
      </x:c>
      <x:c r="M226" t="n">
        <x:f>K226-L226</x:f>
        <x:v>-6</x:v>
      </x:c>
      <x:c r="N226" t="n">
        <x:f>MAX(0,M226)</x:f>
        <x:v>0</x:v>
      </x:c>
      <x:c r="O226" t="n">
        <x:f>MAX(0,-M226)</x:f>
        <x:v>6</x:v>
      </x:c>
      <x:c r="P226" t="str">
        <x:v>Ponto registrado — complemento ilustrativo</x:v>
      </x:c>
      <x:c r="Q226" t="str">
        <x:v>Saída da CONFERÊNCIA DE CAIXA; entrada/intervalo simulados</x:v>
      </x:c>
      <x:c r="R226" t="str">
        <x:v>2025-11</x:v>
      </x:c>
    </x:row>
    <x:row r="227" ht="21" customHeight="1">
      <x:c r="A227" s="83" t="n">
        <x:v>45978</x:v>
      </x:c>
      <x:c r="B227" t="str">
        <x:v>segunda-feira</x:v>
      </x:c>
      <x:c r="C227" s="85" t="n">
        <x:v>0.5402777777777777</x:v>
      </x:c>
      <x:c r="D227" s="85" t="n">
        <x:v>0.6722222222222223</x:v>
      </x:c>
      <x:c r="E227" s="85" t="n">
        <x:v>0.7118055555555556</x:v>
      </x:c>
      <x:c r="F227" s="85" t="n">
        <x:v>0.8868055555555555</x:v>
      </x:c>
      <x:c r="G227" t="str">
        <x:f>TEXT(INT(K227/60),"00")&amp;":"&amp;TEXT(MOD(K227,60),"00")</x:f>
        <x:v>07:22</x:v>
      </x:c>
      <x:c r="H227" t="str">
        <x:f>TEXT(INT(L227/60),"00")&amp;":"&amp;TEXT(MOD(L227,60),"00")</x:f>
        <x:v>07:20</x:v>
      </x:c>
      <x:c r="I227" t="str">
        <x:f>IF(N227&gt;0,"+"&amp;TEXT(INT(N227/60),"00")&amp;":"&amp;TEXT(MOD(N227,60),"00"),"00:00")</x:f>
        <x:v>+00:02</x:v>
      </x:c>
      <x:c r="J227" t="str">
        <x:f>IF(O227&gt;0,"-"&amp;TEXT(INT(O227/60),"00")&amp;":"&amp;TEXT(MOD(O227,60),"00"),"00:00")</x:f>
        <x:v>00:00</x:v>
      </x:c>
      <x:c r="K227" t="n">
        <x:f>ROUND((F227-C227-IF(OR(D227="",E227=""),0,E227-D227))*1440,0)</x:f>
        <x:v>442</x:v>
      </x:c>
      <x:c r="L227" t="n">
        <x:v>440</x:v>
      </x:c>
      <x:c r="M227" t="n">
        <x:f>K227-L227</x:f>
        <x:v>2</x:v>
      </x:c>
      <x:c r="N227" t="n">
        <x:f>MAX(0,M227)</x:f>
        <x:v>2</x:v>
      </x:c>
      <x:c r="O227" t="n">
        <x:f>MAX(0,-M227)</x:f>
        <x:v>0</x:v>
      </x:c>
      <x:c r="P227" t="str">
        <x:v>Ponto registrado — complemento ilustrativo</x:v>
      </x:c>
      <x:c r="Q227" t="str">
        <x:v>Saída da CONFERÊNCIA DE CAIXA; entrada/intervalo simulados</x:v>
      </x:c>
      <x:c r="R227" t="str">
        <x:v>2025-11</x:v>
      </x:c>
    </x:row>
    <x:row r="228" ht="21" customHeight="1">
      <x:c r="A228" s="83" t="n">
        <x:v>45979</x:v>
      </x:c>
      <x:c r="B228" t="str">
        <x:v>terça-feira</x:v>
      </x:c>
      <x:c r="C228" s="85" t="n">
        <x:v>0.5375</x:v>
      </x:c>
      <x:c r="D228" s="85" t="n">
        <x:v>0.6666666666666666</x:v>
      </x:c>
      <x:c r="E228" s="85" t="n">
        <x:v>0.7090277777777778</x:v>
      </x:c>
      <x:c r="F228" s="85" t="n">
        <x:v>0.8888888888888888</x:v>
      </x:c>
      <x:c r="G228" t="str">
        <x:f>TEXT(INT(K228/60),"00")&amp;":"&amp;TEXT(MOD(K228,60),"00")</x:f>
        <x:v>07:25</x:v>
      </x:c>
      <x:c r="H228" t="str">
        <x:f>TEXT(INT(L228/60),"00")&amp;":"&amp;TEXT(MOD(L228,60),"00")</x:f>
        <x:v>07:20</x:v>
      </x:c>
      <x:c r="I228" t="str">
        <x:f>IF(N228&gt;0,"+"&amp;TEXT(INT(N228/60),"00")&amp;":"&amp;TEXT(MOD(N228,60),"00"),"00:00")</x:f>
        <x:v>+00:05</x:v>
      </x:c>
      <x:c r="J228" t="str">
        <x:f>IF(O228&gt;0,"-"&amp;TEXT(INT(O228/60),"00")&amp;":"&amp;TEXT(MOD(O228,60),"00"),"00:00")</x:f>
        <x:v>00:00</x:v>
      </x:c>
      <x:c r="K228" t="n">
        <x:f>ROUND((F228-C228-IF(OR(D228="",E228=""),0,E228-D228))*1440,0)</x:f>
        <x:v>445</x:v>
      </x:c>
      <x:c r="L228" t="n">
        <x:v>440</x:v>
      </x:c>
      <x:c r="M228" t="n">
        <x:f>K228-L228</x:f>
        <x:v>5</x:v>
      </x:c>
      <x:c r="N228" t="n">
        <x:f>MAX(0,M228)</x:f>
        <x:v>5</x:v>
      </x:c>
      <x:c r="O228" t="n">
        <x:f>MAX(0,-M228)</x:f>
        <x:v>0</x:v>
      </x:c>
      <x:c r="P228" t="str">
        <x:v>Ponto registrado — complemento ilustrativo</x:v>
      </x:c>
      <x:c r="Q228" t="str">
        <x:v>Saída da CONFERÊNCIA DE CAIXA; entrada/intervalo simulados</x:v>
      </x:c>
      <x:c r="R228" t="str">
        <x:v>2025-11</x:v>
      </x:c>
    </x:row>
    <x:row r="229" ht="21" customHeight="1">
      <x:c r="A229" s="83" t="n">
        <x:v>45980</x:v>
      </x:c>
      <x:c r="B229" t="str">
        <x:v>quarta-feira</x:v>
      </x:c>
      <x:c r="C229" s="85" t="n">
        <x:v>0.5430555555555555</x:v>
      </x:c>
      <x:c r="D229" s="85" t="n">
        <x:v>0.6659722222222222</x:v>
      </x:c>
      <x:c r="E229" s="85" t="n">
        <x:v>0.70625</x:v>
      </x:c>
      <x:c r="F229" s="85" t="n">
        <x:v>0.8888888888888888</x:v>
      </x:c>
      <x:c r="G229" t="str">
        <x:f>TEXT(INT(K229/60),"00")&amp;":"&amp;TEXT(MOD(K229,60),"00")</x:f>
        <x:v>07:20</x:v>
      </x:c>
      <x:c r="H229" t="str">
        <x:f>TEXT(INT(L229/60),"00")&amp;":"&amp;TEXT(MOD(L229,60),"00")</x:f>
        <x:v>07:20</x:v>
      </x:c>
      <x:c r="I229" t="str">
        <x:f>IF(N229&gt;0,"+"&amp;TEXT(INT(N229/60),"00")&amp;":"&amp;TEXT(MOD(N229,60),"00"),"00:00")</x:f>
        <x:v>00:00</x:v>
      </x:c>
      <x:c r="J229" t="str">
        <x:f>IF(O229&gt;0,"-"&amp;TEXT(INT(O229/60),"00")&amp;":"&amp;TEXT(MOD(O229,60),"00"),"00:00")</x:f>
        <x:v>00:00</x:v>
      </x:c>
      <x:c r="K229" t="n">
        <x:f>ROUND((F229-C229-IF(OR(D229="",E229=""),0,E229-D229))*1440,0)</x:f>
        <x:v>440</x:v>
      </x:c>
      <x:c r="L229" t="n">
        <x:v>440</x:v>
      </x:c>
      <x:c r="M229" t="n">
        <x:f>K229-L229</x:f>
        <x:v>0</x:v>
      </x:c>
      <x:c r="N229" t="n">
        <x:f>MAX(0,M229)</x:f>
        <x:v>0</x:v>
      </x:c>
      <x:c r="O229" t="n">
        <x:f>MAX(0,-M229)</x:f>
        <x:v>0</x:v>
      </x:c>
      <x:c r="P229" t="str">
        <x:v>Ponto registrado — complemento ilustrativo</x:v>
      </x:c>
      <x:c r="Q229" t="str">
        <x:v>Saída da CONFERÊNCIA DE CAIXA; entrada/intervalo simulados</x:v>
      </x:c>
      <x:c r="R229" t="str">
        <x:v>2025-11</x:v>
      </x:c>
    </x:row>
    <x:row r="230" ht="21" customHeight="1">
      <x:c r="A230" s="83" t="n">
        <x:v>45981</x:v>
      </x:c>
      <x:c r="B230" t="str">
        <x:v>quinta-feira</x:v>
      </x:c>
      <x:c r="C230" s="85" t="n">
        <x:v>0.5388888888888889</x:v>
      </x:c>
      <x:c r="D230" s="85" t="n">
        <x:v>0.6743055555555556</x:v>
      </x:c>
      <x:c r="E230" s="85" t="n">
        <x:v>0.7159722222222222</x:v>
      </x:c>
      <x:c r="F230" s="85" t="n">
        <x:v>0.8881944444444444</x:v>
      </x:c>
      <x:c r="G230" t="str">
        <x:f>TEXT(INT(K230/60),"00")&amp;":"&amp;TEXT(MOD(K230,60),"00")</x:f>
        <x:v>07:23</x:v>
      </x:c>
      <x:c r="H230" t="str">
        <x:f>TEXT(INT(L230/60),"00")&amp;":"&amp;TEXT(MOD(L230,60),"00")</x:f>
        <x:v>07:20</x:v>
      </x:c>
      <x:c r="I230" t="str">
        <x:f>IF(N230&gt;0,"+"&amp;TEXT(INT(N230/60),"00")&amp;":"&amp;TEXT(MOD(N230,60),"00"),"00:00")</x:f>
        <x:v>+00:03</x:v>
      </x:c>
      <x:c r="J230" t="str">
        <x:f>IF(O230&gt;0,"-"&amp;TEXT(INT(O230/60),"00")&amp;":"&amp;TEXT(MOD(O230,60),"00"),"00:00")</x:f>
        <x:v>00:00</x:v>
      </x:c>
      <x:c r="K230" t="n">
        <x:f>ROUND((F230-C230-IF(OR(D230="",E230=""),0,E230-D230))*1440,0)</x:f>
        <x:v>443</x:v>
      </x:c>
      <x:c r="L230" t="n">
        <x:v>440</x:v>
      </x:c>
      <x:c r="M230" t="n">
        <x:f>K230-L230</x:f>
        <x:v>3</x:v>
      </x:c>
      <x:c r="N230" t="n">
        <x:f>MAX(0,M230)</x:f>
        <x:v>3</x:v>
      </x:c>
      <x:c r="O230" t="n">
        <x:f>MAX(0,-M230)</x:f>
        <x:v>0</x:v>
      </x:c>
      <x:c r="P230" t="str">
        <x:v>Ponto registrado — complemento ilustrativo</x:v>
      </x:c>
      <x:c r="Q230" t="str">
        <x:v>Saída da CONFERÊNCIA DE CAIXA; entrada/intervalo simulados</x:v>
      </x:c>
      <x:c r="R230" t="str">
        <x:v>2025-11</x:v>
      </x:c>
    </x:row>
    <x:row r="231" ht="21" customHeight="1">
      <x:c r="A231" s="83" t="n">
        <x:v>45982</x:v>
      </x:c>
      <x:c r="B231" t="str">
        <x:v>sexta-feira</x:v>
      </x:c>
      <x:c r="C231" s="85" t="n">
        <x:v>0.5430555555555555</x:v>
      </x:c>
      <x:c r="D231" s="85" t="n">
        <x:v>0.6708333333333333</x:v>
      </x:c>
      <x:c r="E231" s="85" t="n">
        <x:v>0.7118055555555556</x:v>
      </x:c>
      <x:c r="F231" s="85" t="n">
        <x:v>0.8881944444444444</x:v>
      </x:c>
      <x:c r="G231" t="str">
        <x:f>TEXT(INT(K231/60),"00")&amp;":"&amp;TEXT(MOD(K231,60),"00")</x:f>
        <x:v>07:18</x:v>
      </x:c>
      <x:c r="H231" t="str">
        <x:f>TEXT(INT(L231/60),"00")&amp;":"&amp;TEXT(MOD(L231,60),"00")</x:f>
        <x:v>07:20</x:v>
      </x:c>
      <x:c r="I231" t="str">
        <x:f>IF(N231&gt;0,"+"&amp;TEXT(INT(N231/60),"00")&amp;":"&amp;TEXT(MOD(N231,60),"00"),"00:00")</x:f>
        <x:v>00:00</x:v>
      </x:c>
      <x:c r="J231" t="str">
        <x:f>IF(O231&gt;0,"-"&amp;TEXT(INT(O231/60),"00")&amp;":"&amp;TEXT(MOD(O231,60),"00"),"00:00")</x:f>
        <x:v>-00:02</x:v>
      </x:c>
      <x:c r="K231" t="n">
        <x:f>ROUND((F231-C231-IF(OR(D231="",E231=""),0,E231-D231))*1440,0)</x:f>
        <x:v>438</x:v>
      </x:c>
      <x:c r="L231" t="n">
        <x:v>440</x:v>
      </x:c>
      <x:c r="M231" t="n">
        <x:f>K231-L231</x:f>
        <x:v>-2</x:v>
      </x:c>
      <x:c r="N231" t="n">
        <x:f>MAX(0,M231)</x:f>
        <x:v>0</x:v>
      </x:c>
      <x:c r="O231" t="n">
        <x:f>MAX(0,-M231)</x:f>
        <x:v>2</x:v>
      </x:c>
      <x:c r="P231" t="str">
        <x:v>Ponto registrado — complemento ilustrativo</x:v>
      </x:c>
      <x:c r="Q231" t="str">
        <x:v>Saída da CONFERÊNCIA DE CAIXA; entrada/intervalo simulados</x:v>
      </x:c>
      <x:c r="R231" t="str">
        <x:v>2025-11</x:v>
      </x:c>
    </x:row>
    <x:row r="232" ht="21" customHeight="1">
      <x:c r="A232" s="83" t="n">
        <x:v>45983</x:v>
      </x:c>
      <x:c r="B232" t="str">
        <x:v>sábado</x:v>
      </x:c>
      <x:c r="C232" s="85" t="n">
        <x:v>0.5409722222222222</x:v>
      </x:c>
      <x:c r="D232" s="85"/>
      <x:c r="E232" s="85"/>
      <x:c r="F232" s="85" t="n">
        <x:v>0.7083333333333334</x:v>
      </x:c>
      <x:c r="G232" t="str">
        <x:f>TEXT(INT(K232/60),"00")&amp;":"&amp;TEXT(MOD(K232,60),"00")</x:f>
        <x:v>04:01</x:v>
      </x:c>
      <x:c r="H232" t="str">
        <x:f>TEXT(INT(L232/60),"00")&amp;":"&amp;TEXT(MOD(L232,60),"00")</x:f>
        <x:v>04:00</x:v>
      </x:c>
      <x:c r="I232" t="str">
        <x:f>IF(N232&gt;0,"+"&amp;TEXT(INT(N232/60),"00")&amp;":"&amp;TEXT(MOD(N232,60),"00"),"00:00")</x:f>
        <x:v>+00:01</x:v>
      </x:c>
      <x:c r="J232" t="str">
        <x:f>IF(O232&gt;0,"-"&amp;TEXT(INT(O232/60),"00")&amp;":"&amp;TEXT(MOD(O232,60),"00"),"00:00")</x:f>
        <x:v>00:00</x:v>
      </x:c>
      <x:c r="K232" t="n">
        <x:f>ROUND((F232-C232-IF(OR(D232="",E232=""),0,E232-D232))*1440,0)</x:f>
        <x:v>241</x:v>
      </x:c>
      <x:c r="L232" t="n">
        <x:v>240</x:v>
      </x:c>
      <x:c r="M232" t="n">
        <x:f>K232-L232</x:f>
        <x:v>1</x:v>
      </x:c>
      <x:c r="N232" t="n">
        <x:f>MAX(0,M232)</x:f>
        <x:v>1</x:v>
      </x:c>
      <x:c r="O232" t="n">
        <x:f>MAX(0,-M232)</x:f>
        <x:v>0</x:v>
      </x:c>
      <x:c r="P232" t="str">
        <x:v>Ponto registrado — complemento ilustrativo</x:v>
      </x:c>
      <x:c r="Q232" t="str">
        <x:v>Saída da CONFERÊNCIA DE CAIXA; entrada/intervalo simulados</x:v>
      </x:c>
      <x:c r="R232" t="str">
        <x:v>2025-11</x:v>
      </x:c>
    </x:row>
    <x:row r="233" ht="21" customHeight="1">
      <x:c r="A233" s="83" t="n">
        <x:v>45985</x:v>
      </x:c>
      <x:c r="B233" t="str">
        <x:v>segunda-feira</x:v>
      </x:c>
      <x:c r="C233" s="85" t="n">
        <x:v>0.5381944444444444</x:v>
      </x:c>
      <x:c r="D233" s="85" t="n">
        <x:v>0.6777777777777778</x:v>
      </x:c>
      <x:c r="E233" s="85" t="n">
        <x:v>0.7215277777777778</x:v>
      </x:c>
      <x:c r="F233" s="85" t="n">
        <x:v>0.8875</x:v>
      </x:c>
      <x:c r="G233" t="str">
        <x:f>TEXT(INT(K233/60),"00")&amp;":"&amp;TEXT(MOD(K233,60),"00")</x:f>
        <x:v>07:20</x:v>
      </x:c>
      <x:c r="H233" t="str">
        <x:f>TEXT(INT(L233/60),"00")&amp;":"&amp;TEXT(MOD(L233,60),"00")</x:f>
        <x:v>07:20</x:v>
      </x:c>
      <x:c r="I233" t="str">
        <x:f>IF(N233&gt;0,"+"&amp;TEXT(INT(N233/60),"00")&amp;":"&amp;TEXT(MOD(N233,60),"00"),"00:00")</x:f>
        <x:v>00:00</x:v>
      </x:c>
      <x:c r="J233" t="str">
        <x:f>IF(O233&gt;0,"-"&amp;TEXT(INT(O233/60),"00")&amp;":"&amp;TEXT(MOD(O233,60),"00"),"00:00")</x:f>
        <x:v>00:00</x:v>
      </x:c>
      <x:c r="K233" t="n">
        <x:f>ROUND((F233-C233-IF(OR(D233="",E233=""),0,E233-D233))*1440,0)</x:f>
        <x:v>440</x:v>
      </x:c>
      <x:c r="L233" t="n">
        <x:v>440</x:v>
      </x:c>
      <x:c r="M233" t="n">
        <x:f>K233-L233</x:f>
        <x:v>0</x:v>
      </x:c>
      <x:c r="N233" t="n">
        <x:f>MAX(0,M233)</x:f>
        <x:v>0</x:v>
      </x:c>
      <x:c r="O233" t="n">
        <x:f>MAX(0,-M233)</x:f>
        <x:v>0</x:v>
      </x:c>
      <x:c r="P233" t="str">
        <x:v>Ponto registrado — complemento ilustrativo</x:v>
      </x:c>
      <x:c r="Q233" t="str">
        <x:v>Saída da CONFERÊNCIA DE CAIXA; entrada/intervalo simulados</x:v>
      </x:c>
      <x:c r="R233" t="str">
        <x:v>2025-11</x:v>
      </x:c>
    </x:row>
    <x:row r="234" ht="21" customHeight="1">
      <x:c r="A234" s="83" t="n">
        <x:v>45986</x:v>
      </x:c>
      <x:c r="B234" t="str">
        <x:v>terça-feira</x:v>
      </x:c>
      <x:c r="C234" s="85" t="n">
        <x:v>0.5465277777777777</x:v>
      </x:c>
      <x:c r="D234" s="85" t="n">
        <x:v>0.6798611111111111</x:v>
      </x:c>
      <x:c r="E234" s="85" t="n">
        <x:v>0.7194444444444444</x:v>
      </x:c>
      <x:c r="F234" s="85" t="n">
        <x:v>0.8888888888888888</x:v>
      </x:c>
      <x:c r="G234" t="str">
        <x:f>TEXT(INT(K234/60),"00")&amp;":"&amp;TEXT(MOD(K234,60),"00")</x:f>
        <x:v>07:16</x:v>
      </x:c>
      <x:c r="H234" t="str">
        <x:f>TEXT(INT(L234/60),"00")&amp;":"&amp;TEXT(MOD(L234,60),"00")</x:f>
        <x:v>07:20</x:v>
      </x:c>
      <x:c r="I234" t="str">
        <x:f>IF(N234&gt;0,"+"&amp;TEXT(INT(N234/60),"00")&amp;":"&amp;TEXT(MOD(N234,60),"00"),"00:00")</x:f>
        <x:v>00:00</x:v>
      </x:c>
      <x:c r="J234" t="str">
        <x:f>IF(O234&gt;0,"-"&amp;TEXT(INT(O234/60),"00")&amp;":"&amp;TEXT(MOD(O234,60),"00"),"00:00")</x:f>
        <x:v>-00:04</x:v>
      </x:c>
      <x:c r="K234" t="n">
        <x:f>ROUND((F234-C234-IF(OR(D234="",E234=""),0,E234-D234))*1440,0)</x:f>
        <x:v>436</x:v>
      </x:c>
      <x:c r="L234" t="n">
        <x:v>440</x:v>
      </x:c>
      <x:c r="M234" t="n">
        <x:f>K234-L234</x:f>
        <x:v>-4</x:v>
      </x:c>
      <x:c r="N234" t="n">
        <x:f>MAX(0,M234)</x:f>
        <x:v>0</x:v>
      </x:c>
      <x:c r="O234" t="n">
        <x:f>MAX(0,-M234)</x:f>
        <x:v>4</x:v>
      </x:c>
      <x:c r="P234" t="str">
        <x:v>Ponto registrado — complemento ilustrativo</x:v>
      </x:c>
      <x:c r="Q234" t="str">
        <x:v>Saída da CONFERÊNCIA DE CAIXA; entrada/intervalo simulados</x:v>
      </x:c>
      <x:c r="R234" t="str">
        <x:v>2025-11</x:v>
      </x:c>
    </x:row>
    <x:row r="235" ht="21" customHeight="1">
      <x:c r="A235" s="83" t="n">
        <x:v>45987</x:v>
      </x:c>
      <x:c r="B235" t="str">
        <x:v>quarta-feira</x:v>
      </x:c>
      <x:c r="C235" s="85" t="n">
        <x:v>0.5388888888888889</x:v>
      </x:c>
      <x:c r="D235" s="85" t="n">
        <x:v>0.6708333333333333</x:v>
      </x:c>
      <x:c r="E235" s="85" t="n">
        <x:v>0.7125</x:v>
      </x:c>
      <x:c r="F235" s="85" t="n">
        <x:v>0.8798611111111111</x:v>
      </x:c>
      <x:c r="G235" t="str">
        <x:f>TEXT(INT(K235/60),"00")&amp;":"&amp;TEXT(MOD(K235,60),"00")</x:f>
        <x:v>07:11</x:v>
      </x:c>
      <x:c r="H235" t="str">
        <x:f>TEXT(INT(L235/60),"00")&amp;":"&amp;TEXT(MOD(L235,60),"00")</x:f>
        <x:v>07:20</x:v>
      </x:c>
      <x:c r="I235" t="str">
        <x:f>IF(N235&gt;0,"+"&amp;TEXT(INT(N235/60),"00")&amp;":"&amp;TEXT(MOD(N235,60),"00"),"00:00")</x:f>
        <x:v>00:00</x:v>
      </x:c>
      <x:c r="J235" t="str">
        <x:f>IF(O235&gt;0,"-"&amp;TEXT(INT(O235/60),"00")&amp;":"&amp;TEXT(MOD(O235,60),"00"),"00:00")</x:f>
        <x:v>-00:09</x:v>
      </x:c>
      <x:c r="K235" t="n">
        <x:f>ROUND((F235-C235-IF(OR(D235="",E235=""),0,E235-D235))*1440,0)</x:f>
        <x:v>431</x:v>
      </x:c>
      <x:c r="L235" t="n">
        <x:v>440</x:v>
      </x:c>
      <x:c r="M235" t="n">
        <x:f>K235-L235</x:f>
        <x:v>-9</x:v>
      </x:c>
      <x:c r="N235" t="n">
        <x:f>MAX(0,M235)</x:f>
        <x:v>0</x:v>
      </x:c>
      <x:c r="O235" t="n">
        <x:f>MAX(0,-M235)</x:f>
        <x:v>9</x:v>
      </x:c>
      <x:c r="P235" t="str">
        <x:v>Ponto registrado — complemento ilustrativo</x:v>
      </x:c>
      <x:c r="Q235" t="str">
        <x:v>Saída da CONFERÊNCIA DE CAIXA; entrada/intervalo simulados</x:v>
      </x:c>
      <x:c r="R235" t="str">
        <x:v>2025-11</x:v>
      </x:c>
    </x:row>
    <x:row r="236" ht="21" customHeight="1">
      <x:c r="A236" s="83" t="n">
        <x:v>45988</x:v>
      </x:c>
      <x:c r="B236" t="str">
        <x:v>quinta-feira</x:v>
      </x:c>
      <x:c r="C236" s="85" t="n">
        <x:v>0.5381944444444444</x:v>
      </x:c>
      <x:c r="D236" s="85" t="n">
        <x:v>0.66875</x:v>
      </x:c>
      <x:c r="E236" s="85" t="n">
        <x:v>0.7125</x:v>
      </x:c>
      <x:c r="F236" s="85" t="n">
        <x:v>0.8881944444444444</x:v>
      </x:c>
      <x:c r="G236" t="str">
        <x:f>TEXT(INT(K236/60),"00")&amp;":"&amp;TEXT(MOD(K236,60),"00")</x:f>
        <x:v>07:21</x:v>
      </x:c>
      <x:c r="H236" t="str">
        <x:f>TEXT(INT(L236/60),"00")&amp;":"&amp;TEXT(MOD(L236,60),"00")</x:f>
        <x:v>07:20</x:v>
      </x:c>
      <x:c r="I236" t="str">
        <x:f>IF(N236&gt;0,"+"&amp;TEXT(INT(N236/60),"00")&amp;":"&amp;TEXT(MOD(N236,60),"00"),"00:00")</x:f>
        <x:v>+00:01</x:v>
      </x:c>
      <x:c r="J236" t="str">
        <x:f>IF(O236&gt;0,"-"&amp;TEXT(INT(O236/60),"00")&amp;":"&amp;TEXT(MOD(O236,60),"00"),"00:00")</x:f>
        <x:v>00:00</x:v>
      </x:c>
      <x:c r="K236" t="n">
        <x:f>ROUND((F236-C236-IF(OR(D236="",E236=""),0,E236-D236))*1440,0)</x:f>
        <x:v>441</x:v>
      </x:c>
      <x:c r="L236" t="n">
        <x:v>440</x:v>
      </x:c>
      <x:c r="M236" t="n">
        <x:f>K236-L236</x:f>
        <x:v>1</x:v>
      </x:c>
      <x:c r="N236" t="n">
        <x:f>MAX(0,M236)</x:f>
        <x:v>1</x:v>
      </x:c>
      <x:c r="O236" t="n">
        <x:f>MAX(0,-M236)</x:f>
        <x:v>0</x:v>
      </x:c>
      <x:c r="P236" t="str">
        <x:v>Ponto registrado — complemento ilustrativo</x:v>
      </x:c>
      <x:c r="Q236" t="str">
        <x:v>Saída da CONFERÊNCIA DE CAIXA; entrada/intervalo simulados</x:v>
      </x:c>
      <x:c r="R236" t="str">
        <x:v>2025-11</x:v>
      </x:c>
    </x:row>
    <x:row r="237" ht="21" customHeight="1">
      <x:c r="A237" s="83" t="n">
        <x:v>45989</x:v>
      </x:c>
      <x:c r="B237" t="str">
        <x:v>sexta-feira</x:v>
      </x:c>
      <x:c r="C237" s="85" t="n">
        <x:v>0.5465277777777777</x:v>
      </x:c>
      <x:c r="D237" s="85" t="n">
        <x:v>0.6701388888888888</x:v>
      </x:c>
      <x:c r="E237" s="85" t="n">
        <x:v>0.7090277777777778</x:v>
      </x:c>
      <x:c r="F237" s="85" t="n">
        <x:v>0.8847222222222222</x:v>
      </x:c>
      <x:c r="G237" t="str">
        <x:f>TEXT(INT(K237/60),"00")&amp;":"&amp;TEXT(MOD(K237,60),"00")</x:f>
        <x:v>07:11</x:v>
      </x:c>
      <x:c r="H237" t="str">
        <x:f>TEXT(INT(L237/60),"00")&amp;":"&amp;TEXT(MOD(L237,60),"00")</x:f>
        <x:v>07:20</x:v>
      </x:c>
      <x:c r="I237" t="str">
        <x:f>IF(N237&gt;0,"+"&amp;TEXT(INT(N237/60),"00")&amp;":"&amp;TEXT(MOD(N237,60),"00"),"00:00")</x:f>
        <x:v>00:00</x:v>
      </x:c>
      <x:c r="J237" t="str">
        <x:f>IF(O237&gt;0,"-"&amp;TEXT(INT(O237/60),"00")&amp;":"&amp;TEXT(MOD(O237,60),"00"),"00:00")</x:f>
        <x:v>-00:09</x:v>
      </x:c>
      <x:c r="K237" t="n">
        <x:f>ROUND((F237-C237-IF(OR(D237="",E237=""),0,E237-D237))*1440,0)</x:f>
        <x:v>431</x:v>
      </x:c>
      <x:c r="L237" t="n">
        <x:v>440</x:v>
      </x:c>
      <x:c r="M237" t="n">
        <x:f>K237-L237</x:f>
        <x:v>-9</x:v>
      </x:c>
      <x:c r="N237" t="n">
        <x:f>MAX(0,M237)</x:f>
        <x:v>0</x:v>
      </x:c>
      <x:c r="O237" t="n">
        <x:f>MAX(0,-M237)</x:f>
        <x:v>9</x:v>
      </x:c>
      <x:c r="P237" t="str">
        <x:v>Ponto registrado — complemento ilustrativo</x:v>
      </x:c>
      <x:c r="Q237" t="str">
        <x:v>Saída da CONFERÊNCIA DE CAIXA; entrada/intervalo simulados</x:v>
      </x:c>
      <x:c r="R237" t="str">
        <x:v>2025-11</x:v>
      </x:c>
    </x:row>
    <x:row r="238" ht="21" customHeight="1">
      <x:c r="A238" s="83" t="n">
        <x:v>45990</x:v>
      </x:c>
      <x:c r="B238" t="str">
        <x:v>sábado</x:v>
      </x:c>
      <x:c r="C238" s="85" t="n">
        <x:v>0.5444444444444444</x:v>
      </x:c>
      <x:c r="D238" s="85"/>
      <x:c r="E238" s="85"/>
      <x:c r="F238" s="85" t="n">
        <x:v>0.7069444444444445</x:v>
      </x:c>
      <x:c r="G238" t="str">
        <x:f>TEXT(INT(K238/60),"00")&amp;":"&amp;TEXT(MOD(K238,60),"00")</x:f>
        <x:v>03:54</x:v>
      </x:c>
      <x:c r="H238" t="str">
        <x:f>TEXT(INT(L238/60),"00")&amp;":"&amp;TEXT(MOD(L238,60),"00")</x:f>
        <x:v>04:00</x:v>
      </x:c>
      <x:c r="I238" t="str">
        <x:f>IF(N238&gt;0,"+"&amp;TEXT(INT(N238/60),"00")&amp;":"&amp;TEXT(MOD(N238,60),"00"),"00:00")</x:f>
        <x:v>00:00</x:v>
      </x:c>
      <x:c r="J238" t="str">
        <x:f>IF(O238&gt;0,"-"&amp;TEXT(INT(O238/60),"00")&amp;":"&amp;TEXT(MOD(O238,60),"00"),"00:00")</x:f>
        <x:v>-00:06</x:v>
      </x:c>
      <x:c r="K238" t="n">
        <x:f>ROUND((F238-C238-IF(OR(D238="",E238=""),0,E238-D238))*1440,0)</x:f>
        <x:v>234</x:v>
      </x:c>
      <x:c r="L238" t="n">
        <x:v>240</x:v>
      </x:c>
      <x:c r="M238" t="n">
        <x:f>K238-L238</x:f>
        <x:v>-6</x:v>
      </x:c>
      <x:c r="N238" t="n">
        <x:f>MAX(0,M238)</x:f>
        <x:v>0</x:v>
      </x:c>
      <x:c r="O238" t="n">
        <x:f>MAX(0,-M238)</x:f>
        <x:v>6</x:v>
      </x:c>
      <x:c r="P238" t="str">
        <x:v>Ponto registrado — complemento ilustrativo</x:v>
      </x:c>
      <x:c r="Q238" t="str">
        <x:v>Saída da CONFERÊNCIA DE CAIXA; entrada/intervalo simulados</x:v>
      </x:c>
      <x:c r="R238" t="str">
        <x:v>2025-11</x:v>
      </x:c>
    </x:row>
    <x:row r="239" ht="21" customHeight="1">
      <x:c r="A239" s="83" t="n">
        <x:v>45992</x:v>
      </x:c>
      <x:c r="B239" t="str">
        <x:v>segunda-feira</x:v>
      </x:c>
      <x:c r="C239" s="85" t="n">
        <x:v>0.5430555555555555</x:v>
      </x:c>
      <x:c r="D239" s="85" t="n">
        <x:v>0.6756944444444445</x:v>
      </x:c>
      <x:c r="E239" s="85" t="n">
        <x:v>0.7201388888888889</x:v>
      </x:c>
      <x:c r="F239" s="85" t="n">
        <x:v>0.8868055555555555</x:v>
      </x:c>
      <x:c r="G239" t="str">
        <x:f>TEXT(INT(K239/60),"00")&amp;":"&amp;TEXT(MOD(K239,60),"00")</x:f>
        <x:v>07:11</x:v>
      </x:c>
      <x:c r="H239" t="str">
        <x:f>TEXT(INT(L239/60),"00")&amp;":"&amp;TEXT(MOD(L239,60),"00")</x:f>
        <x:v>07:20</x:v>
      </x:c>
      <x:c r="I239" t="str">
        <x:f>IF(N239&gt;0,"+"&amp;TEXT(INT(N239/60),"00")&amp;":"&amp;TEXT(MOD(N239,60),"00"),"00:00")</x:f>
        <x:v>00:00</x:v>
      </x:c>
      <x:c r="J239" t="str">
        <x:f>IF(O239&gt;0,"-"&amp;TEXT(INT(O239/60),"00")&amp;":"&amp;TEXT(MOD(O239,60),"00"),"00:00")</x:f>
        <x:v>-00:09</x:v>
      </x:c>
      <x:c r="K239" t="n">
        <x:f>ROUND((F239-C239-IF(OR(D239="",E239=""),0,E239-D239))*1440,0)</x:f>
        <x:v>431</x:v>
      </x:c>
      <x:c r="L239" t="n">
        <x:v>440</x:v>
      </x:c>
      <x:c r="M239" t="n">
        <x:f>K239-L239</x:f>
        <x:v>-9</x:v>
      </x:c>
      <x:c r="N239" t="n">
        <x:f>MAX(0,M239)</x:f>
        <x:v>0</x:v>
      </x:c>
      <x:c r="O239" t="n">
        <x:f>MAX(0,-M239)</x:f>
        <x:v>9</x:v>
      </x:c>
      <x:c r="P239" t="str">
        <x:v>Ponto registrado — complemento ilustrativo</x:v>
      </x:c>
      <x:c r="Q239" t="str">
        <x:v>Saída da CONFERÊNCIA DE CAIXA; entrada/intervalo simulados</x:v>
      </x:c>
      <x:c r="R239" t="str">
        <x:v>2025-12</x:v>
      </x:c>
    </x:row>
    <x:row r="240" ht="21" customHeight="1">
      <x:c r="A240" s="83" t="n">
        <x:v>45993</x:v>
      </x:c>
      <x:c r="B240" t="str">
        <x:v>terça-feira</x:v>
      </x:c>
      <x:c r="C240" s="85" t="n">
        <x:v>0.5395833333333333</x:v>
      </x:c>
      <x:c r="D240" s="85" t="n">
        <x:v>0.6666666666666666</x:v>
      </x:c>
      <x:c r="E240" s="85" t="n">
        <x:v>0.7055555555555556</x:v>
      </x:c>
      <x:c r="F240" s="85" t="n">
        <x:v>0.8902777777777777</x:v>
      </x:c>
      <x:c r="G240" t="str">
        <x:f>TEXT(INT(K240/60),"00")&amp;":"&amp;TEXT(MOD(K240,60),"00")</x:f>
        <x:v>07:29</x:v>
      </x:c>
      <x:c r="H240" t="str">
        <x:f>TEXT(INT(L240/60),"00")&amp;":"&amp;TEXT(MOD(L240,60),"00")</x:f>
        <x:v>07:20</x:v>
      </x:c>
      <x:c r="I240" t="str">
        <x:f>IF(N240&gt;0,"+"&amp;TEXT(INT(N240/60),"00")&amp;":"&amp;TEXT(MOD(N240,60),"00"),"00:00")</x:f>
        <x:v>+00:09</x:v>
      </x:c>
      <x:c r="J240" t="str">
        <x:f>IF(O240&gt;0,"-"&amp;TEXT(INT(O240/60),"00")&amp;":"&amp;TEXT(MOD(O240,60),"00"),"00:00")</x:f>
        <x:v>00:00</x:v>
      </x:c>
      <x:c r="K240" t="n">
        <x:f>ROUND((F240-C240-IF(OR(D240="",E240=""),0,E240-D240))*1440,0)</x:f>
        <x:v>449</x:v>
      </x:c>
      <x:c r="L240" t="n">
        <x:v>440</x:v>
      </x:c>
      <x:c r="M240" t="n">
        <x:f>K240-L240</x:f>
        <x:v>9</x:v>
      </x:c>
      <x:c r="N240" t="n">
        <x:f>MAX(0,M240)</x:f>
        <x:v>9</x:v>
      </x:c>
      <x:c r="O240" t="n">
        <x:f>MAX(0,-M240)</x:f>
        <x:v>0</x:v>
      </x:c>
      <x:c r="P240" t="str">
        <x:v>Ponto registrado — complemento ilustrativo</x:v>
      </x:c>
      <x:c r="Q240" t="str">
        <x:v>Saída da CONFERÊNCIA DE CAIXA; entrada/intervalo simulados</x:v>
      </x:c>
      <x:c r="R240" t="str">
        <x:v>2025-12</x:v>
      </x:c>
    </x:row>
    <x:row r="241" ht="21" customHeight="1">
      <x:c r="A241" s="83" t="n">
        <x:v>45994</x:v>
      </x:c>
      <x:c r="B241" t="str">
        <x:v>quarta-feira</x:v>
      </x:c>
      <x:c r="C241" s="85" t="n">
        <x:v>0.5416666666666666</x:v>
      </x:c>
      <x:c r="D241" s="85" t="n">
        <x:v>0.6666666666666666</x:v>
      </x:c>
      <x:c r="E241" s="85" t="n">
        <x:v>0.7104166666666667</x:v>
      </x:c>
      <x:c r="F241" s="85" t="n">
        <x:v>0.8902777777777777</x:v>
      </x:c>
      <x:c r="G241" t="str">
        <x:f>TEXT(INT(K241/60),"00")&amp;":"&amp;TEXT(MOD(K241,60),"00")</x:f>
        <x:v>07:19</x:v>
      </x:c>
      <x:c r="H241" t="str">
        <x:f>TEXT(INT(L241/60),"00")&amp;":"&amp;TEXT(MOD(L241,60),"00")</x:f>
        <x:v>07:20</x:v>
      </x:c>
      <x:c r="I241" t="str">
        <x:f>IF(N241&gt;0,"+"&amp;TEXT(INT(N241/60),"00")&amp;":"&amp;TEXT(MOD(N241,60),"00"),"00:00")</x:f>
        <x:v>00:00</x:v>
      </x:c>
      <x:c r="J241" t="str">
        <x:f>IF(O241&gt;0,"-"&amp;TEXT(INT(O241/60),"00")&amp;":"&amp;TEXT(MOD(O241,60),"00"),"00:00")</x:f>
        <x:v>-00:01</x:v>
      </x:c>
      <x:c r="K241" t="n">
        <x:f>ROUND((F241-C241-IF(OR(D241="",E241=""),0,E241-D241))*1440,0)</x:f>
        <x:v>439</x:v>
      </x:c>
      <x:c r="L241" t="n">
        <x:v>440</x:v>
      </x:c>
      <x:c r="M241" t="n">
        <x:f>K241-L241</x:f>
        <x:v>-1</x:v>
      </x:c>
      <x:c r="N241" t="n">
        <x:f>MAX(0,M241)</x:f>
        <x:v>0</x:v>
      </x:c>
      <x:c r="O241" t="n">
        <x:f>MAX(0,-M241)</x:f>
        <x:v>1</x:v>
      </x:c>
      <x:c r="P241" t="str">
        <x:v>Ponto registrado — complemento ilustrativo</x:v>
      </x:c>
      <x:c r="Q241" t="str">
        <x:v>Saída da CONFERÊNCIA DE CAIXA; entrada/intervalo simulados</x:v>
      </x:c>
      <x:c r="R241" t="str">
        <x:v>2025-12</x:v>
      </x:c>
    </x:row>
    <x:row r="242" ht="21" customHeight="1">
      <x:c r="A242" s="83" t="n">
        <x:v>45995</x:v>
      </x:c>
      <x:c r="B242" t="str">
        <x:v>quinta-feira</x:v>
      </x:c>
      <x:c r="C242" s="85" t="n">
        <x:v>0.5395833333333333</x:v>
      </x:c>
      <x:c r="D242" s="85" t="n">
        <x:v>0.675</x:v>
      </x:c>
      <x:c r="E242" s="85" t="n">
        <x:v>0.7145833333333333</x:v>
      </x:c>
      <x:c r="F242" s="85" t="n">
        <x:v>0.8791666666666667</x:v>
      </x:c>
      <x:c r="G242" t="str">
        <x:f>TEXT(INT(K242/60),"00")&amp;":"&amp;TEXT(MOD(K242,60),"00")</x:f>
        <x:v>07:12</x:v>
      </x:c>
      <x:c r="H242" t="str">
        <x:f>TEXT(INT(L242/60),"00")&amp;":"&amp;TEXT(MOD(L242,60),"00")</x:f>
        <x:v>07:20</x:v>
      </x:c>
      <x:c r="I242" t="str">
        <x:f>IF(N242&gt;0,"+"&amp;TEXT(INT(N242/60),"00")&amp;":"&amp;TEXT(MOD(N242,60),"00"),"00:00")</x:f>
        <x:v>00:00</x:v>
      </x:c>
      <x:c r="J242" t="str">
        <x:f>IF(O242&gt;0,"-"&amp;TEXT(INT(O242/60),"00")&amp;":"&amp;TEXT(MOD(O242,60),"00"),"00:00")</x:f>
        <x:v>-00:08</x:v>
      </x:c>
      <x:c r="K242" t="n">
        <x:f>ROUND((F242-C242-IF(OR(D242="",E242=""),0,E242-D242))*1440,0)</x:f>
        <x:v>432</x:v>
      </x:c>
      <x:c r="L242" t="n">
        <x:v>440</x:v>
      </x:c>
      <x:c r="M242" t="n">
        <x:f>K242-L242</x:f>
        <x:v>-8</x:v>
      </x:c>
      <x:c r="N242" t="n">
        <x:f>MAX(0,M242)</x:f>
        <x:v>0</x:v>
      </x:c>
      <x:c r="O242" t="n">
        <x:f>MAX(0,-M242)</x:f>
        <x:v>8</x:v>
      </x:c>
      <x:c r="P242" t="str">
        <x:v>Ponto registrado — complemento ilustrativo</x:v>
      </x:c>
      <x:c r="Q242" t="str">
        <x:v>Saída da CONFERÊNCIA DE CAIXA; entrada/intervalo simulados</x:v>
      </x:c>
      <x:c r="R242" t="str">
        <x:v>2025-12</x:v>
      </x:c>
    </x:row>
    <x:row r="243" ht="21" customHeight="1">
      <x:c r="A243" s="83" t="n">
        <x:v>45996</x:v>
      </x:c>
      <x:c r="B243" t="str">
        <x:v>sexta-feira</x:v>
      </x:c>
      <x:c r="C243" s="85" t="n">
        <x:v>0.5472222222222223</x:v>
      </x:c>
      <x:c r="D243" s="85" t="n">
        <x:v>0.6729166666666667</x:v>
      </x:c>
      <x:c r="E243" s="85" t="n">
        <x:v>0.7125</x:v>
      </x:c>
      <x:c r="F243" s="85" t="n">
        <x:v>0.8791666666666667</x:v>
      </x:c>
      <x:c r="G243" t="str">
        <x:f>TEXT(INT(K243/60),"00")&amp;":"&amp;TEXT(MOD(K243,60),"00")</x:f>
        <x:v>07:01</x:v>
      </x:c>
      <x:c r="H243" t="str">
        <x:f>TEXT(INT(L243/60),"00")&amp;":"&amp;TEXT(MOD(L243,60),"00")</x:f>
        <x:v>07:20</x:v>
      </x:c>
      <x:c r="I243" t="str">
        <x:f>IF(N243&gt;0,"+"&amp;TEXT(INT(N243/60),"00")&amp;":"&amp;TEXT(MOD(N243,60),"00"),"00:00")</x:f>
        <x:v>00:00</x:v>
      </x:c>
      <x:c r="J243" t="str">
        <x:f>IF(O243&gt;0,"-"&amp;TEXT(INT(O243/60),"00")&amp;":"&amp;TEXT(MOD(O243,60),"00"),"00:00")</x:f>
        <x:v>-00:19</x:v>
      </x:c>
      <x:c r="K243" t="n">
        <x:f>ROUND((F243-C243-IF(OR(D243="",E243=""),0,E243-D243))*1440,0)</x:f>
        <x:v>421</x:v>
      </x:c>
      <x:c r="L243" t="n">
        <x:v>440</x:v>
      </x:c>
      <x:c r="M243" t="n">
        <x:f>K243-L243</x:f>
        <x:v>-19</x:v>
      </x:c>
      <x:c r="N243" t="n">
        <x:f>MAX(0,M243)</x:f>
        <x:v>0</x:v>
      </x:c>
      <x:c r="O243" t="n">
        <x:f>MAX(0,-M243)</x:f>
        <x:v>19</x:v>
      </x:c>
      <x:c r="P243" t="str">
        <x:v>Ponto registrado — complemento ilustrativo</x:v>
      </x:c>
      <x:c r="Q243" t="str">
        <x:v>Saída da CONFERÊNCIA DE CAIXA; entrada/intervalo simulados</x:v>
      </x:c>
      <x:c r="R243" t="str">
        <x:v>2025-12</x:v>
      </x:c>
    </x:row>
    <x:row r="244" ht="21" customHeight="1">
      <x:c r="A244" s="83" t="n">
        <x:v>45997</x:v>
      </x:c>
      <x:c r="B244" t="str">
        <x:v>sábado</x:v>
      </x:c>
      <x:c r="C244" s="85" t="n">
        <x:v>0.5409722222222222</x:v>
      </x:c>
      <x:c r="D244" s="85"/>
      <x:c r="E244" s="85"/>
      <x:c r="F244" s="85" t="n">
        <x:v>0.7027777777777777</x:v>
      </x:c>
      <x:c r="G244" t="str">
        <x:f>TEXT(INT(K244/60),"00")&amp;":"&amp;TEXT(MOD(K244,60),"00")</x:f>
        <x:v>03:53</x:v>
      </x:c>
      <x:c r="H244" t="str">
        <x:f>TEXT(INT(L244/60),"00")&amp;":"&amp;TEXT(MOD(L244,60),"00")</x:f>
        <x:v>04:00</x:v>
      </x:c>
      <x:c r="I244" t="str">
        <x:f>IF(N244&gt;0,"+"&amp;TEXT(INT(N244/60),"00")&amp;":"&amp;TEXT(MOD(N244,60),"00"),"00:00")</x:f>
        <x:v>00:00</x:v>
      </x:c>
      <x:c r="J244" t="str">
        <x:f>IF(O244&gt;0,"-"&amp;TEXT(INT(O244/60),"00")&amp;":"&amp;TEXT(MOD(O244,60),"00"),"00:00")</x:f>
        <x:v>-00:07</x:v>
      </x:c>
      <x:c r="K244" t="n">
        <x:f>ROUND((F244-C244-IF(OR(D244="",E244=""),0,E244-D244))*1440,0)</x:f>
        <x:v>233</x:v>
      </x:c>
      <x:c r="L244" t="n">
        <x:v>240</x:v>
      </x:c>
      <x:c r="M244" t="n">
        <x:f>K244-L244</x:f>
        <x:v>-7</x:v>
      </x:c>
      <x:c r="N244" t="n">
        <x:f>MAX(0,M244)</x:f>
        <x:v>0</x:v>
      </x:c>
      <x:c r="O244" t="n">
        <x:f>MAX(0,-M244)</x:f>
        <x:v>7</x:v>
      </x:c>
      <x:c r="P244" t="str">
        <x:v>Ponto registrado — complemento ilustrativo</x:v>
      </x:c>
      <x:c r="Q244" t="str">
        <x:v>Saída da CONFERÊNCIA DE CAIXA; entrada/intervalo simulados</x:v>
      </x:c>
      <x:c r="R244" t="str">
        <x:v>2025-12</x:v>
      </x:c>
    </x:row>
    <x:row r="245" ht="21" customHeight="1">
      <x:c r="A245" s="83" t="n">
        <x:v>45999</x:v>
      </x:c>
      <x:c r="B245" t="str">
        <x:v>segunda-feira</x:v>
      </x:c>
      <x:c r="C245" s="85" t="n">
        <x:v>0.5395833333333333</x:v>
      </x:c>
      <x:c r="D245" s="85" t="n">
        <x:v>0.6805555555555556</x:v>
      </x:c>
      <x:c r="E245" s="85" t="n">
        <x:v>0.7215277777777778</x:v>
      </x:c>
      <x:c r="F245" s="85" t="n">
        <x:v>0.8902777777777777</x:v>
      </x:c>
      <x:c r="G245" t="str">
        <x:f>TEXT(INT(K245/60),"00")&amp;":"&amp;TEXT(MOD(K245,60),"00")</x:f>
        <x:v>07:26</x:v>
      </x:c>
      <x:c r="H245" t="str">
        <x:f>TEXT(INT(L245/60),"00")&amp;":"&amp;TEXT(MOD(L245,60),"00")</x:f>
        <x:v>07:20</x:v>
      </x:c>
      <x:c r="I245" t="str">
        <x:f>IF(N245&gt;0,"+"&amp;TEXT(INT(N245/60),"00")&amp;":"&amp;TEXT(MOD(N245,60),"00"),"00:00")</x:f>
        <x:v>+00:06</x:v>
      </x:c>
      <x:c r="J245" t="str">
        <x:f>IF(O245&gt;0,"-"&amp;TEXT(INT(O245/60),"00")&amp;":"&amp;TEXT(MOD(O245,60),"00"),"00:00")</x:f>
        <x:v>00:00</x:v>
      </x:c>
      <x:c r="K245" t="n">
        <x:f>ROUND((F245-C245-IF(OR(D245="",E245=""),0,E245-D245))*1440,0)</x:f>
        <x:v>446</x:v>
      </x:c>
      <x:c r="L245" t="n">
        <x:v>440</x:v>
      </x:c>
      <x:c r="M245" t="n">
        <x:f>K245-L245</x:f>
        <x:v>6</x:v>
      </x:c>
      <x:c r="N245" t="n">
        <x:f>MAX(0,M245)</x:f>
        <x:v>6</x:v>
      </x:c>
      <x:c r="O245" t="n">
        <x:f>MAX(0,-M245)</x:f>
        <x:v>0</x:v>
      </x:c>
      <x:c r="P245" t="str">
        <x:v>Ponto registrado — complemento ilustrativo</x:v>
      </x:c>
      <x:c r="Q245" t="str">
        <x:v>Saída da CONFERÊNCIA DE CAIXA; entrada/intervalo simulados</x:v>
      </x:c>
      <x:c r="R245" t="str">
        <x:v>2025-12</x:v>
      </x:c>
    </x:row>
    <x:row r="246" ht="21" customHeight="1">
      <x:c r="A246" s="83" t="n">
        <x:v>46000</x:v>
      </x:c>
      <x:c r="B246" t="str">
        <x:v>terça-feira</x:v>
      </x:c>
      <x:c r="C246" s="85" t="n">
        <x:v>0.5395833333333333</x:v>
      </x:c>
      <x:c r="D246" s="85" t="n">
        <x:v>0.6798611111111111</x:v>
      </x:c>
      <x:c r="E246" s="85" t="n">
        <x:v>0.7215277777777778</x:v>
      </x:c>
      <x:c r="F246" s="85" t="n">
        <x:v>0.8826388888888889</x:v>
      </x:c>
      <x:c r="G246" t="str">
        <x:f>TEXT(INT(K246/60),"00")&amp;":"&amp;TEXT(MOD(K246,60),"00")</x:f>
        <x:v>07:14</x:v>
      </x:c>
      <x:c r="H246" t="str">
        <x:f>TEXT(INT(L246/60),"00")&amp;":"&amp;TEXT(MOD(L246,60),"00")</x:f>
        <x:v>07:20</x:v>
      </x:c>
      <x:c r="I246" t="str">
        <x:f>IF(N246&gt;0,"+"&amp;TEXT(INT(N246/60),"00")&amp;":"&amp;TEXT(MOD(N246,60),"00"),"00:00")</x:f>
        <x:v>00:00</x:v>
      </x:c>
      <x:c r="J246" t="str">
        <x:f>IF(O246&gt;0,"-"&amp;TEXT(INT(O246/60),"00")&amp;":"&amp;TEXT(MOD(O246,60),"00"),"00:00")</x:f>
        <x:v>-00:06</x:v>
      </x:c>
      <x:c r="K246" t="n">
        <x:f>ROUND((F246-C246-IF(OR(D246="",E246=""),0,E246-D246))*1440,0)</x:f>
        <x:v>434</x:v>
      </x:c>
      <x:c r="L246" t="n">
        <x:v>440</x:v>
      </x:c>
      <x:c r="M246" t="n">
        <x:f>K246-L246</x:f>
        <x:v>-6</x:v>
      </x:c>
      <x:c r="N246" t="n">
        <x:f>MAX(0,M246)</x:f>
        <x:v>0</x:v>
      </x:c>
      <x:c r="O246" t="n">
        <x:f>MAX(0,-M246)</x:f>
        <x:v>6</x:v>
      </x:c>
      <x:c r="P246" t="str">
        <x:v>Ponto registrado — complemento ilustrativo</x:v>
      </x:c>
      <x:c r="Q246" t="str">
        <x:v>Saída da CONFERÊNCIA DE CAIXA; entrada/intervalo simulados</x:v>
      </x:c>
      <x:c r="R246" t="str">
        <x:v>2025-12</x:v>
      </x:c>
    </x:row>
    <x:row r="247" ht="21" customHeight="1">
      <x:c r="A247" s="83" t="n">
        <x:v>46001</x:v>
      </x:c>
      <x:c r="B247" t="str">
        <x:v>quarta-feira</x:v>
      </x:c>
      <x:c r="C247" s="85" t="n">
        <x:v>0.5423611111111111</x:v>
      </x:c>
      <x:c r="D247" s="85" t="n">
        <x:v>0.6666666666666666</x:v>
      </x:c>
      <x:c r="E247" s="85" t="n">
        <x:v>0.7090277777777778</x:v>
      </x:c>
      <x:c r="F247" s="85" t="n">
        <x:v>0.8916666666666667</x:v>
      </x:c>
      <x:c r="G247" t="str">
        <x:f>TEXT(INT(K247/60),"00")&amp;":"&amp;TEXT(MOD(K247,60),"00")</x:f>
        <x:v>07:22</x:v>
      </x:c>
      <x:c r="H247" t="str">
        <x:f>TEXT(INT(L247/60),"00")&amp;":"&amp;TEXT(MOD(L247,60),"00")</x:f>
        <x:v>07:20</x:v>
      </x:c>
      <x:c r="I247" t="str">
        <x:f>IF(N247&gt;0,"+"&amp;TEXT(INT(N247/60),"00")&amp;":"&amp;TEXT(MOD(N247,60),"00"),"00:00")</x:f>
        <x:v>+00:02</x:v>
      </x:c>
      <x:c r="J247" t="str">
        <x:f>IF(O247&gt;0,"-"&amp;TEXT(INT(O247/60),"00")&amp;":"&amp;TEXT(MOD(O247,60),"00"),"00:00")</x:f>
        <x:v>00:00</x:v>
      </x:c>
      <x:c r="K247" t="n">
        <x:f>ROUND((F247-C247-IF(OR(D247="",E247=""),0,E247-D247))*1440,0)</x:f>
        <x:v>442</x:v>
      </x:c>
      <x:c r="L247" t="n">
        <x:v>440</x:v>
      </x:c>
      <x:c r="M247" t="n">
        <x:f>K247-L247</x:f>
        <x:v>2</x:v>
      </x:c>
      <x:c r="N247" t="n">
        <x:f>MAX(0,M247)</x:f>
        <x:v>2</x:v>
      </x:c>
      <x:c r="O247" t="n">
        <x:f>MAX(0,-M247)</x:f>
        <x:v>0</x:v>
      </x:c>
      <x:c r="P247" t="str">
        <x:v>Ponto registrado — complemento ilustrativo</x:v>
      </x:c>
      <x:c r="Q247" t="str">
        <x:v>Saída da CONFERÊNCIA DE CAIXA; entrada/intervalo simulados</x:v>
      </x:c>
      <x:c r="R247" t="str">
        <x:v>2025-12</x:v>
      </x:c>
    </x:row>
    <x:row r="248" ht="21" customHeight="1">
      <x:c r="A248" s="83" t="n">
        <x:v>46002</x:v>
      </x:c>
      <x:c r="B248" t="str">
        <x:v>quinta-feira</x:v>
      </x:c>
      <x:c r="C248" s="85" t="n">
        <x:v>0.5472222222222223</x:v>
      </x:c>
      <x:c r="D248" s="85" t="n">
        <x:v>0.6736111111111112</x:v>
      </x:c>
      <x:c r="E248" s="85" t="n">
        <x:v>0.7125</x:v>
      </x:c>
      <x:c r="F248" s="85" t="n">
        <x:v>0.8888888888888888</x:v>
      </x:c>
      <x:c r="G248" t="str">
        <x:f>TEXT(INT(K248/60),"00")&amp;":"&amp;TEXT(MOD(K248,60),"00")</x:f>
        <x:v>07:16</x:v>
      </x:c>
      <x:c r="H248" t="str">
        <x:f>TEXT(INT(L248/60),"00")&amp;":"&amp;TEXT(MOD(L248,60),"00")</x:f>
        <x:v>07:20</x:v>
      </x:c>
      <x:c r="I248" t="str">
        <x:f>IF(N248&gt;0,"+"&amp;TEXT(INT(N248/60),"00")&amp;":"&amp;TEXT(MOD(N248,60),"00"),"00:00")</x:f>
        <x:v>00:00</x:v>
      </x:c>
      <x:c r="J248" t="str">
        <x:f>IF(O248&gt;0,"-"&amp;TEXT(INT(O248/60),"00")&amp;":"&amp;TEXT(MOD(O248,60),"00"),"00:00")</x:f>
        <x:v>-00:04</x:v>
      </x:c>
      <x:c r="K248" t="n">
        <x:f>ROUND((F248-C248-IF(OR(D248="",E248=""),0,E248-D248))*1440,0)</x:f>
        <x:v>436</x:v>
      </x:c>
      <x:c r="L248" t="n">
        <x:v>440</x:v>
      </x:c>
      <x:c r="M248" t="n">
        <x:f>K248-L248</x:f>
        <x:v>-4</x:v>
      </x:c>
      <x:c r="N248" t="n">
        <x:f>MAX(0,M248)</x:f>
        <x:v>0</x:v>
      </x:c>
      <x:c r="O248" t="n">
        <x:f>MAX(0,-M248)</x:f>
        <x:v>4</x:v>
      </x:c>
      <x:c r="P248" t="str">
        <x:v>Ponto registrado — complemento ilustrativo</x:v>
      </x:c>
      <x:c r="Q248" t="str">
        <x:v>Saída da CONFERÊNCIA DE CAIXA; entrada/intervalo simulados</x:v>
      </x:c>
      <x:c r="R248" t="str">
        <x:v>2025-12</x:v>
      </x:c>
    </x:row>
    <x:row r="249" ht="21" customHeight="1">
      <x:c r="A249" s="83" t="n">
        <x:v>46003</x:v>
      </x:c>
      <x:c r="B249" t="str">
        <x:v>sexta-feira</x:v>
      </x:c>
      <x:c r="C249" s="85" t="n">
        <x:v>0.5409722222222222</x:v>
      </x:c>
      <x:c r="D249" s="85" t="n">
        <x:v>0.6715277777777777</x:v>
      </x:c>
      <x:c r="E249" s="85" t="n">
        <x:v>0.7131944444444445</x:v>
      </x:c>
      <x:c r="F249" s="85" t="n">
        <x:v>0.8916666666666667</x:v>
      </x:c>
      <x:c r="G249" t="str">
        <x:f>TEXT(INT(K249/60),"00")&amp;":"&amp;TEXT(MOD(K249,60),"00")</x:f>
        <x:v>07:25</x:v>
      </x:c>
      <x:c r="H249" t="str">
        <x:f>TEXT(INT(L249/60),"00")&amp;":"&amp;TEXT(MOD(L249,60),"00")</x:f>
        <x:v>07:20</x:v>
      </x:c>
      <x:c r="I249" t="str">
        <x:f>IF(N249&gt;0,"+"&amp;TEXT(INT(N249/60),"00")&amp;":"&amp;TEXT(MOD(N249,60),"00"),"00:00")</x:f>
        <x:v>+00:05</x:v>
      </x:c>
      <x:c r="J249" t="str">
        <x:f>IF(O249&gt;0,"-"&amp;TEXT(INT(O249/60),"00")&amp;":"&amp;TEXT(MOD(O249,60),"00"),"00:00")</x:f>
        <x:v>00:00</x:v>
      </x:c>
      <x:c r="K249" t="n">
        <x:f>ROUND((F249-C249-IF(OR(D249="",E249=""),0,E249-D249))*1440,0)</x:f>
        <x:v>445</x:v>
      </x:c>
      <x:c r="L249" t="n">
        <x:v>440</x:v>
      </x:c>
      <x:c r="M249" t="n">
        <x:f>K249-L249</x:f>
        <x:v>5</x:v>
      </x:c>
      <x:c r="N249" t="n">
        <x:f>MAX(0,M249)</x:f>
        <x:v>5</x:v>
      </x:c>
      <x:c r="O249" t="n">
        <x:f>MAX(0,-M249)</x:f>
        <x:v>0</x:v>
      </x:c>
      <x:c r="P249" t="str">
        <x:v>Ponto registrado — complemento ilustrativo</x:v>
      </x:c>
      <x:c r="Q249" t="str">
        <x:v>Saída da CONFERÊNCIA DE CAIXA; entrada/intervalo simulados</x:v>
      </x:c>
      <x:c r="R249" t="str">
        <x:v>2025-12</x:v>
      </x:c>
    </x:row>
    <x:row r="250" ht="21" customHeight="1">
      <x:c r="A250" s="83" t="n">
        <x:v>46004</x:v>
      </x:c>
      <x:c r="B250" t="str">
        <x:v>sábado</x:v>
      </x:c>
      <x:c r="C250" s="85" t="n">
        <x:v>0.5430555555555555</x:v>
      </x:c>
      <x:c r="D250" s="85"/>
      <x:c r="E250" s="85"/>
      <x:c r="F250" s="85" t="n">
        <x:v>0.70625</x:v>
      </x:c>
      <x:c r="G250" t="str">
        <x:f>TEXT(INT(K250/60),"00")&amp;":"&amp;TEXT(MOD(K250,60),"00")</x:f>
        <x:v>03:55</x:v>
      </x:c>
      <x:c r="H250" t="str">
        <x:f>TEXT(INT(L250/60),"00")&amp;":"&amp;TEXT(MOD(L250,60),"00")</x:f>
        <x:v>04:00</x:v>
      </x:c>
      <x:c r="I250" t="str">
        <x:f>IF(N250&gt;0,"+"&amp;TEXT(INT(N250/60),"00")&amp;":"&amp;TEXT(MOD(N250,60),"00"),"00:00")</x:f>
        <x:v>00:00</x:v>
      </x:c>
      <x:c r="J250" t="str">
        <x:f>IF(O250&gt;0,"-"&amp;TEXT(INT(O250/60),"00")&amp;":"&amp;TEXT(MOD(O250,60),"00"),"00:00")</x:f>
        <x:v>-00:05</x:v>
      </x:c>
      <x:c r="K250" t="n">
        <x:f>ROUND((F250-C250-IF(OR(D250="",E250=""),0,E250-D250))*1440,0)</x:f>
        <x:v>235</x:v>
      </x:c>
      <x:c r="L250" t="n">
        <x:v>240</x:v>
      </x:c>
      <x:c r="M250" t="n">
        <x:f>K250-L250</x:f>
        <x:v>-5</x:v>
      </x:c>
      <x:c r="N250" t="n">
        <x:f>MAX(0,M250)</x:f>
        <x:v>0</x:v>
      </x:c>
      <x:c r="O250" t="n">
        <x:f>MAX(0,-M250)</x:f>
        <x:v>5</x:v>
      </x:c>
      <x:c r="P250" t="str">
        <x:v>Ponto registrado — complemento ilustrativo</x:v>
      </x:c>
      <x:c r="Q250" t="str">
        <x:v>Saída da CONFERÊNCIA DE CAIXA; entrada/intervalo simulados</x:v>
      </x:c>
      <x:c r="R250" t="str">
        <x:v>2025-12</x:v>
      </x:c>
    </x:row>
    <x:row r="251" ht="21" customHeight="1">
      <x:c r="A251" s="83" t="n">
        <x:v>46006</x:v>
      </x:c>
      <x:c r="B251" t="str">
        <x:v>segunda-feira</x:v>
      </x:c>
      <x:c r="C251" s="85" t="n">
        <x:v>0.5395833333333333</x:v>
      </x:c>
      <x:c r="D251" s="85" t="n">
        <x:v>0.6798611111111111</x:v>
      </x:c>
      <x:c r="E251" s="85" t="n">
        <x:v>0.7201388888888889</x:v>
      </x:c>
      <x:c r="F251" s="85" t="n">
        <x:v>0.8902777777777777</x:v>
      </x:c>
      <x:c r="G251" t="str">
        <x:f>TEXT(INT(K251/60),"00")&amp;":"&amp;TEXT(MOD(K251,60),"00")</x:f>
        <x:v>07:27</x:v>
      </x:c>
      <x:c r="H251" t="str">
        <x:f>TEXT(INT(L251/60),"00")&amp;":"&amp;TEXT(MOD(L251,60),"00")</x:f>
        <x:v>07:20</x:v>
      </x:c>
      <x:c r="I251" t="str">
        <x:f>IF(N251&gt;0,"+"&amp;TEXT(INT(N251/60),"00")&amp;":"&amp;TEXT(MOD(N251,60),"00"),"00:00")</x:f>
        <x:v>+00:07</x:v>
      </x:c>
      <x:c r="J251" t="str">
        <x:f>IF(O251&gt;0,"-"&amp;TEXT(INT(O251/60),"00")&amp;":"&amp;TEXT(MOD(O251,60),"00"),"00:00")</x:f>
        <x:v>00:00</x:v>
      </x:c>
      <x:c r="K251" t="n">
        <x:f>ROUND((F251-C251-IF(OR(D251="",E251=""),0,E251-D251))*1440,0)</x:f>
        <x:v>447</x:v>
      </x:c>
      <x:c r="L251" t="n">
        <x:v>440</x:v>
      </x:c>
      <x:c r="M251" t="n">
        <x:f>K251-L251</x:f>
        <x:v>7</x:v>
      </x:c>
      <x:c r="N251" t="n">
        <x:f>MAX(0,M251)</x:f>
        <x:v>7</x:v>
      </x:c>
      <x:c r="O251" t="n">
        <x:f>MAX(0,-M251)</x:f>
        <x:v>0</x:v>
      </x:c>
      <x:c r="P251" t="str">
        <x:v>Ponto registrado — complemento ilustrativo</x:v>
      </x:c>
      <x:c r="Q251" t="str">
        <x:v>Saída da CONFERÊNCIA DE CAIXA; entrada/intervalo simulados</x:v>
      </x:c>
      <x:c r="R251" t="str">
        <x:v>2025-12</x:v>
      </x:c>
    </x:row>
    <x:row r="252" ht="21" customHeight="1">
      <x:c r="A252" s="83" t="n">
        <x:v>46007</x:v>
      </x:c>
      <x:c r="B252" t="str">
        <x:v>terça-feira</x:v>
      </x:c>
      <x:c r="C252" s="85" t="n">
        <x:v>0.5458333333333333</x:v>
      </x:c>
      <x:c r="D252" s="85" t="n">
        <x:v>0.6701388888888888</x:v>
      </x:c>
      <x:c r="E252" s="85" t="n">
        <x:v>0.7104166666666667</x:v>
      </x:c>
      <x:c r="F252" s="85" t="n">
        <x:v>0.8888888888888888</x:v>
      </x:c>
      <x:c r="G252" t="str">
        <x:f>TEXT(INT(K252/60),"00")&amp;":"&amp;TEXT(MOD(K252,60),"00")</x:f>
        <x:v>07:16</x:v>
      </x:c>
      <x:c r="H252" t="str">
        <x:f>TEXT(INT(L252/60),"00")&amp;":"&amp;TEXT(MOD(L252,60),"00")</x:f>
        <x:v>07:20</x:v>
      </x:c>
      <x:c r="I252" t="str">
        <x:f>IF(N252&gt;0,"+"&amp;TEXT(INT(N252/60),"00")&amp;":"&amp;TEXT(MOD(N252,60),"00"),"00:00")</x:f>
        <x:v>00:00</x:v>
      </x:c>
      <x:c r="J252" t="str">
        <x:f>IF(O252&gt;0,"-"&amp;TEXT(INT(O252/60),"00")&amp;":"&amp;TEXT(MOD(O252,60),"00"),"00:00")</x:f>
        <x:v>-00:04</x:v>
      </x:c>
      <x:c r="K252" t="n">
        <x:f>ROUND((F252-C252-IF(OR(D252="",E252=""),0,E252-D252))*1440,0)</x:f>
        <x:v>436</x:v>
      </x:c>
      <x:c r="L252" t="n">
        <x:v>440</x:v>
      </x:c>
      <x:c r="M252" t="n">
        <x:f>K252-L252</x:f>
        <x:v>-4</x:v>
      </x:c>
      <x:c r="N252" t="n">
        <x:f>MAX(0,M252)</x:f>
        <x:v>0</x:v>
      </x:c>
      <x:c r="O252" t="n">
        <x:f>MAX(0,-M252)</x:f>
        <x:v>4</x:v>
      </x:c>
      <x:c r="P252" t="str">
        <x:v>Ponto registrado — complemento ilustrativo</x:v>
      </x:c>
      <x:c r="Q252" t="str">
        <x:v>Saída da CONFERÊNCIA DE CAIXA; entrada/intervalo simulados</x:v>
      </x:c>
      <x:c r="R252" t="str">
        <x:v>2025-12</x:v>
      </x:c>
    </x:row>
    <x:row r="253" ht="21" customHeight="1">
      <x:c r="A253" s="83" t="n">
        <x:v>46008</x:v>
      </x:c>
      <x:c r="B253" t="str">
        <x:v>quarta-feira</x:v>
      </x:c>
      <x:c r="C253" s="85" t="n">
        <x:v>0.5430555555555555</x:v>
      </x:c>
      <x:c r="D253" s="85" t="n">
        <x:v>0.6756944444444445</x:v>
      </x:c>
      <x:c r="E253" s="85" t="n">
        <x:v>0.7145833333333333</x:v>
      </x:c>
      <x:c r="F253" s="85" t="n">
        <x:v>0.8888888888888888</x:v>
      </x:c>
      <x:c r="G253" t="str">
        <x:f>TEXT(INT(K253/60),"00")&amp;":"&amp;TEXT(MOD(K253,60),"00")</x:f>
        <x:v>07:22</x:v>
      </x:c>
      <x:c r="H253" t="str">
        <x:f>TEXT(INT(L253/60),"00")&amp;":"&amp;TEXT(MOD(L253,60),"00")</x:f>
        <x:v>07:20</x:v>
      </x:c>
      <x:c r="I253" t="str">
        <x:f>IF(N253&gt;0,"+"&amp;TEXT(INT(N253/60),"00")&amp;":"&amp;TEXT(MOD(N253,60),"00"),"00:00")</x:f>
        <x:v>+00:02</x:v>
      </x:c>
      <x:c r="J253" t="str">
        <x:f>IF(O253&gt;0,"-"&amp;TEXT(INT(O253/60),"00")&amp;":"&amp;TEXT(MOD(O253,60),"00"),"00:00")</x:f>
        <x:v>00:00</x:v>
      </x:c>
      <x:c r="K253" t="n">
        <x:f>ROUND((F253-C253-IF(OR(D253="",E253=""),0,E253-D253))*1440,0)</x:f>
        <x:v>442</x:v>
      </x:c>
      <x:c r="L253" t="n">
        <x:v>440</x:v>
      </x:c>
      <x:c r="M253" t="n">
        <x:f>K253-L253</x:f>
        <x:v>2</x:v>
      </x:c>
      <x:c r="N253" t="n">
        <x:f>MAX(0,M253)</x:f>
        <x:v>2</x:v>
      </x:c>
      <x:c r="O253" t="n">
        <x:f>MAX(0,-M253)</x:f>
        <x:v>0</x:v>
      </x:c>
      <x:c r="P253" t="str">
        <x:v>Ponto registrado — complemento ilustrativo</x:v>
      </x:c>
      <x:c r="Q253" t="str">
        <x:v>Saída da CONFERÊNCIA DE CAIXA; entrada/intervalo simulados</x:v>
      </x:c>
      <x:c r="R253" t="str">
        <x:v>2025-12</x:v>
      </x:c>
    </x:row>
    <x:row r="254" ht="21" customHeight="1">
      <x:c r="A254" s="83" t="n">
        <x:v>46009</x:v>
      </x:c>
      <x:c r="B254" t="str">
        <x:v>quinta-feira</x:v>
      </x:c>
      <x:c r="C254" s="85" t="n">
        <x:v>0.5430555555555555</x:v>
      </x:c>
      <x:c r="D254" s="85" t="n">
        <x:v>0.6784722222222223</x:v>
      </x:c>
      <x:c r="E254" s="85" t="n">
        <x:v>0.7215277777777778</x:v>
      </x:c>
      <x:c r="F254" s="85" t="n">
        <x:v>0.8819444444444444</x:v>
      </x:c>
      <x:c r="G254" t="str">
        <x:f>TEXT(INT(K254/60),"00")&amp;":"&amp;TEXT(MOD(K254,60),"00")</x:f>
        <x:v>07:06</x:v>
      </x:c>
      <x:c r="H254" t="str">
        <x:f>TEXT(INT(L254/60),"00")&amp;":"&amp;TEXT(MOD(L254,60),"00")</x:f>
        <x:v>07:20</x:v>
      </x:c>
      <x:c r="I254" t="str">
        <x:f>IF(N254&gt;0,"+"&amp;TEXT(INT(N254/60),"00")&amp;":"&amp;TEXT(MOD(N254,60),"00"),"00:00")</x:f>
        <x:v>00:00</x:v>
      </x:c>
      <x:c r="J254" t="str">
        <x:f>IF(O254&gt;0,"-"&amp;TEXT(INT(O254/60),"00")&amp;":"&amp;TEXT(MOD(O254,60),"00"),"00:00")</x:f>
        <x:v>-00:14</x:v>
      </x:c>
      <x:c r="K254" t="n">
        <x:f>ROUND((F254-C254-IF(OR(D254="",E254=""),0,E254-D254))*1440,0)</x:f>
        <x:v>426</x:v>
      </x:c>
      <x:c r="L254" t="n">
        <x:v>440</x:v>
      </x:c>
      <x:c r="M254" t="n">
        <x:f>K254-L254</x:f>
        <x:v>-14</x:v>
      </x:c>
      <x:c r="N254" t="n">
        <x:f>MAX(0,M254)</x:f>
        <x:v>0</x:v>
      </x:c>
      <x:c r="O254" t="n">
        <x:f>MAX(0,-M254)</x:f>
        <x:v>14</x:v>
      </x:c>
      <x:c r="P254" t="str">
        <x:v>Ponto registrado — complemento ilustrativo</x:v>
      </x:c>
      <x:c r="Q254" t="str">
        <x:v>Saída da CONFERÊNCIA DE CAIXA; entrada/intervalo simulados</x:v>
      </x:c>
      <x:c r="R254" t="str">
        <x:v>2025-12</x:v>
      </x:c>
    </x:row>
    <x:row r="255" ht="21" customHeight="1">
      <x:c r="A255" s="83" t="n">
        <x:v>46010</x:v>
      </x:c>
      <x:c r="B255" t="str">
        <x:v>sexta-feira</x:v>
      </x:c>
      <x:c r="C255" s="85" t="n">
        <x:v>0.5416666666666666</x:v>
      </x:c>
      <x:c r="D255" s="85" t="n">
        <x:v>0.6805555555555556</x:v>
      </x:c>
      <x:c r="E255" s="85" t="n">
        <x:v>0.7222222222222222</x:v>
      </x:c>
      <x:c r="F255" s="85" t="n">
        <x:v>0.8902777777777777</x:v>
      </x:c>
      <x:c r="G255" t="str">
        <x:f>TEXT(INT(K255/60),"00")&amp;":"&amp;TEXT(MOD(K255,60),"00")</x:f>
        <x:v>07:22</x:v>
      </x:c>
      <x:c r="H255" t="str">
        <x:f>TEXT(INT(L255/60),"00")&amp;":"&amp;TEXT(MOD(L255,60),"00")</x:f>
        <x:v>07:20</x:v>
      </x:c>
      <x:c r="I255" t="str">
        <x:f>IF(N255&gt;0,"+"&amp;TEXT(INT(N255/60),"00")&amp;":"&amp;TEXT(MOD(N255,60),"00"),"00:00")</x:f>
        <x:v>+00:02</x:v>
      </x:c>
      <x:c r="J255" t="str">
        <x:f>IF(O255&gt;0,"-"&amp;TEXT(INT(O255/60),"00")&amp;":"&amp;TEXT(MOD(O255,60),"00"),"00:00")</x:f>
        <x:v>00:00</x:v>
      </x:c>
      <x:c r="K255" t="n">
        <x:f>ROUND((F255-C255-IF(OR(D255="",E255=""),0,E255-D255))*1440,0)</x:f>
        <x:v>442</x:v>
      </x:c>
      <x:c r="L255" t="n">
        <x:v>440</x:v>
      </x:c>
      <x:c r="M255" t="n">
        <x:f>K255-L255</x:f>
        <x:v>2</x:v>
      </x:c>
      <x:c r="N255" t="n">
        <x:f>MAX(0,M255)</x:f>
        <x:v>2</x:v>
      </x:c>
      <x:c r="O255" t="n">
        <x:f>MAX(0,-M255)</x:f>
        <x:v>0</x:v>
      </x:c>
      <x:c r="P255" t="str">
        <x:v>Ponto registrado — complemento ilustrativo</x:v>
      </x:c>
      <x:c r="Q255" t="str">
        <x:v>Saída da CONFERÊNCIA DE CAIXA; entrada/intervalo simulados</x:v>
      </x:c>
      <x:c r="R255" t="str">
        <x:v>2025-12</x:v>
      </x:c>
    </x:row>
    <x:row r="256" ht="21" customHeight="1">
      <x:c r="A256" s="83" t="n">
        <x:v>46011</x:v>
      </x:c>
      <x:c r="B256" t="str">
        <x:v>sábado</x:v>
      </x:c>
      <x:c r="C256" s="85" t="n">
        <x:v>0.5395833333333333</x:v>
      </x:c>
      <x:c r="D256" s="85"/>
      <x:c r="E256" s="85"/>
      <x:c r="F256" s="85" t="n">
        <x:v>0.7027777777777777</x:v>
      </x:c>
      <x:c r="G256" t="str">
        <x:f>TEXT(INT(K256/60),"00")&amp;":"&amp;TEXT(MOD(K256,60),"00")</x:f>
        <x:v>03:55</x:v>
      </x:c>
      <x:c r="H256" t="str">
        <x:f>TEXT(INT(L256/60),"00")&amp;":"&amp;TEXT(MOD(L256,60),"00")</x:f>
        <x:v>04:00</x:v>
      </x:c>
      <x:c r="I256" t="str">
        <x:f>IF(N256&gt;0,"+"&amp;TEXT(INT(N256/60),"00")&amp;":"&amp;TEXT(MOD(N256,60),"00"),"00:00")</x:f>
        <x:v>00:00</x:v>
      </x:c>
      <x:c r="J256" t="str">
        <x:f>IF(O256&gt;0,"-"&amp;TEXT(INT(O256/60),"00")&amp;":"&amp;TEXT(MOD(O256,60),"00"),"00:00")</x:f>
        <x:v>-00:05</x:v>
      </x:c>
      <x:c r="K256" t="n">
        <x:f>ROUND((F256-C256-IF(OR(D256="",E256=""),0,E256-D256))*1440,0)</x:f>
        <x:v>235</x:v>
      </x:c>
      <x:c r="L256" t="n">
        <x:v>240</x:v>
      </x:c>
      <x:c r="M256" t="n">
        <x:f>K256-L256</x:f>
        <x:v>-5</x:v>
      </x:c>
      <x:c r="N256" t="n">
        <x:f>MAX(0,M256)</x:f>
        <x:v>0</x:v>
      </x:c>
      <x:c r="O256" t="n">
        <x:f>MAX(0,-M256)</x:f>
        <x:v>5</x:v>
      </x:c>
      <x:c r="P256" t="str">
        <x:v>Ponto registrado — complemento ilustrativo</x:v>
      </x:c>
      <x:c r="Q256" t="str">
        <x:v>Saída da CONFERÊNCIA DE CAIXA; entrada/intervalo simulados</x:v>
      </x:c>
      <x:c r="R256" t="str">
        <x:v>2025-12</x:v>
      </x:c>
    </x:row>
    <x:row r="257" ht="21" customHeight="1">
      <x:c r="A257" s="83" t="n">
        <x:v>46013</x:v>
      </x:c>
      <x:c r="B257" t="str">
        <x:v>segunda-feira</x:v>
      </x:c>
      <x:c r="C257" s="85" t="n">
        <x:v>0.5472222222222223</x:v>
      </x:c>
      <x:c r="D257" s="85" t="n">
        <x:v>0.6673611111111111</x:v>
      </x:c>
      <x:c r="E257" s="85" t="n">
        <x:v>0.70625</x:v>
      </x:c>
      <x:c r="F257" s="85" t="n">
        <x:v>0.8847222222222222</x:v>
      </x:c>
      <x:c r="G257" t="str">
        <x:f>TEXT(INT(K257/60),"00")&amp;":"&amp;TEXT(MOD(K257,60),"00")</x:f>
        <x:v>07:10</x:v>
      </x:c>
      <x:c r="H257" t="str">
        <x:f>TEXT(INT(L257/60),"00")&amp;":"&amp;TEXT(MOD(L257,60),"00")</x:f>
        <x:v>07:20</x:v>
      </x:c>
      <x:c r="I257" t="str">
        <x:f>IF(N257&gt;0,"+"&amp;TEXT(INT(N257/60),"00")&amp;":"&amp;TEXT(MOD(N257,60),"00"),"00:00")</x:f>
        <x:v>00:00</x:v>
      </x:c>
      <x:c r="J257" t="str">
        <x:f>IF(O257&gt;0,"-"&amp;TEXT(INT(O257/60),"00")&amp;":"&amp;TEXT(MOD(O257,60),"00"),"00:00")</x:f>
        <x:v>-00:10</x:v>
      </x:c>
      <x:c r="K257" t="n">
        <x:f>ROUND((F257-C257-IF(OR(D257="",E257=""),0,E257-D257))*1440,0)</x:f>
        <x:v>430</x:v>
      </x:c>
      <x:c r="L257" t="n">
        <x:v>440</x:v>
      </x:c>
      <x:c r="M257" t="n">
        <x:f>K257-L257</x:f>
        <x:v>-10</x:v>
      </x:c>
      <x:c r="N257" t="n">
        <x:f>MAX(0,M257)</x:f>
        <x:v>0</x:v>
      </x:c>
      <x:c r="O257" t="n">
        <x:f>MAX(0,-M257)</x:f>
        <x:v>10</x:v>
      </x:c>
      <x:c r="P257" t="str">
        <x:v>Ponto registrado — complemento ilustrativo</x:v>
      </x:c>
      <x:c r="Q257" t="str">
        <x:v>Saída da CONFERÊNCIA DE CAIXA; entrada/intervalo simulados</x:v>
      </x:c>
      <x:c r="R257" t="str">
        <x:v>2025-12</x:v>
      </x:c>
    </x:row>
    <x:row r="258" ht="21" customHeight="1">
      <x:c r="A258" s="83" t="n">
        <x:v>46014</x:v>
      </x:c>
      <x:c r="B258" t="str">
        <x:v>terça-feira</x:v>
      </x:c>
      <x:c r="C258" s="85" t="n">
        <x:v>0.5388888888888889</x:v>
      </x:c>
      <x:c r="D258" s="85" t="n">
        <x:v>0.6791666666666667</x:v>
      </x:c>
      <x:c r="E258" s="85" t="n">
        <x:v>0.7222222222222222</x:v>
      </x:c>
      <x:c r="F258" s="85" t="n">
        <x:v>0.8868055555555555</x:v>
      </x:c>
      <x:c r="G258" t="str">
        <x:f>TEXT(INT(K258/60),"00")&amp;":"&amp;TEXT(MOD(K258,60),"00")</x:f>
        <x:v>07:19</x:v>
      </x:c>
      <x:c r="H258" t="str">
        <x:f>TEXT(INT(L258/60),"00")&amp;":"&amp;TEXT(MOD(L258,60),"00")</x:f>
        <x:v>07:20</x:v>
      </x:c>
      <x:c r="I258" t="str">
        <x:f>IF(N258&gt;0,"+"&amp;TEXT(INT(N258/60),"00")&amp;":"&amp;TEXT(MOD(N258,60),"00"),"00:00")</x:f>
        <x:v>00:00</x:v>
      </x:c>
      <x:c r="J258" t="str">
        <x:f>IF(O258&gt;0,"-"&amp;TEXT(INT(O258/60),"00")&amp;":"&amp;TEXT(MOD(O258,60),"00"),"00:00")</x:f>
        <x:v>-00:01</x:v>
      </x:c>
      <x:c r="K258" t="n">
        <x:f>ROUND((F258-C258-IF(OR(D258="",E258=""),0,E258-D258))*1440,0)</x:f>
        <x:v>439</x:v>
      </x:c>
      <x:c r="L258" t="n">
        <x:v>440</x:v>
      </x:c>
      <x:c r="M258" t="n">
        <x:f>K258-L258</x:f>
        <x:v>-1</x:v>
      </x:c>
      <x:c r="N258" t="n">
        <x:f>MAX(0,M258)</x:f>
        <x:v>0</x:v>
      </x:c>
      <x:c r="O258" t="n">
        <x:f>MAX(0,-M258)</x:f>
        <x:v>1</x:v>
      </x:c>
      <x:c r="P258" t="str">
        <x:v>Ponto registrado — complemento ilustrativo</x:v>
      </x:c>
      <x:c r="Q258" t="str">
        <x:v>Saída da CONFERÊNCIA DE CAIXA; entrada/intervalo simulados</x:v>
      </x:c>
      <x:c r="R258" t="str">
        <x:v>2025-12</x:v>
      </x:c>
    </x:row>
    <x:row r="259" ht="21" customHeight="1">
      <x:c r="A259" s="83" t="n">
        <x:v>46015</x:v>
      </x:c>
      <x:c r="B259" t="str">
        <x:v>quarta-feira</x:v>
      </x:c>
      <x:c r="C259" s="85" t="n">
        <x:v>0.5388888888888889</x:v>
      </x:c>
      <x:c r="D259" s="85" t="n">
        <x:v>0.6659722222222222</x:v>
      </x:c>
      <x:c r="E259" s="85" t="n">
        <x:v>0.7048611111111112</x:v>
      </x:c>
      <x:c r="F259" s="85" t="n">
        <x:v>0.8902777777777777</x:v>
      </x:c>
      <x:c r="G259" t="str">
        <x:f>TEXT(INT(K259/60),"00")&amp;":"&amp;TEXT(MOD(K259,60),"00")</x:f>
        <x:v>07:30</x:v>
      </x:c>
      <x:c r="H259" t="str">
        <x:f>TEXT(INT(L259/60),"00")&amp;":"&amp;TEXT(MOD(L259,60),"00")</x:f>
        <x:v>07:20</x:v>
      </x:c>
      <x:c r="I259" t="str">
        <x:f>IF(N259&gt;0,"+"&amp;TEXT(INT(N259/60),"00")&amp;":"&amp;TEXT(MOD(N259,60),"00"),"00:00")</x:f>
        <x:v>+00:10</x:v>
      </x:c>
      <x:c r="J259" t="str">
        <x:f>IF(O259&gt;0,"-"&amp;TEXT(INT(O259/60),"00")&amp;":"&amp;TEXT(MOD(O259,60),"00"),"00:00")</x:f>
        <x:v>00:00</x:v>
      </x:c>
      <x:c r="K259" t="n">
        <x:f>ROUND((F259-C259-IF(OR(D259="",E259=""),0,E259-D259))*1440,0)</x:f>
        <x:v>450</x:v>
      </x:c>
      <x:c r="L259" t="n">
        <x:v>440</x:v>
      </x:c>
      <x:c r="M259" t="n">
        <x:f>K259-L259</x:f>
        <x:v>10</x:v>
      </x:c>
      <x:c r="N259" t="n">
        <x:f>MAX(0,M259)</x:f>
        <x:v>10</x:v>
      </x:c>
      <x:c r="O259" t="n">
        <x:f>MAX(0,-M259)</x:f>
        <x:v>0</x:v>
      </x:c>
      <x:c r="P259" t="str">
        <x:v>Ponto registrado — complemento ilustrativo</x:v>
      </x:c>
      <x:c r="Q259" t="str">
        <x:v>Saída da CONFERÊNCIA DE CAIXA; entrada/intervalo simulados</x:v>
      </x:c>
      <x:c r="R259" t="str">
        <x:v>2025-12</x:v>
      </x:c>
    </x:row>
    <x:row r="260" ht="21" customHeight="1">
      <x:c r="A260" s="83" t="n">
        <x:v>46016</x:v>
      </x:c>
      <x:c r="B260" t="str">
        <x:v>quinta-feira</x:v>
      </x:c>
      <x:c r="C260" s="85" t="n">
        <x:v>0.5409722222222222</x:v>
      </x:c>
      <x:c r="D260" s="85" t="n">
        <x:v>0.6777777777777778</x:v>
      </x:c>
      <x:c r="E260" s="85" t="n">
        <x:v>0.7201388888888889</x:v>
      </x:c>
      <x:c r="F260" s="85" t="n">
        <x:v>0.8895833333333333</x:v>
      </x:c>
      <x:c r="G260" t="str">
        <x:f>TEXT(INT(K260/60),"00")&amp;":"&amp;TEXT(MOD(K260,60),"00")</x:f>
        <x:v>07:21</x:v>
      </x:c>
      <x:c r="H260" t="str">
        <x:f>TEXT(INT(L260/60),"00")&amp;":"&amp;TEXT(MOD(L260,60),"00")</x:f>
        <x:v>07:20</x:v>
      </x:c>
      <x:c r="I260" t="str">
        <x:f>IF(N260&gt;0,"+"&amp;TEXT(INT(N260/60),"00")&amp;":"&amp;TEXT(MOD(N260,60),"00"),"00:00")</x:f>
        <x:v>+00:01</x:v>
      </x:c>
      <x:c r="J260" t="str">
        <x:f>IF(O260&gt;0,"-"&amp;TEXT(INT(O260/60),"00")&amp;":"&amp;TEXT(MOD(O260,60),"00"),"00:00")</x:f>
        <x:v>00:00</x:v>
      </x:c>
      <x:c r="K260" t="n">
        <x:f>ROUND((F260-C260-IF(OR(D260="",E260=""),0,E260-D260))*1440,0)</x:f>
        <x:v>441</x:v>
      </x:c>
      <x:c r="L260" t="n">
        <x:v>440</x:v>
      </x:c>
      <x:c r="M260" t="n">
        <x:f>K260-L260</x:f>
        <x:v>1</x:v>
      </x:c>
      <x:c r="N260" t="n">
        <x:f>MAX(0,M260)</x:f>
        <x:v>1</x:v>
      </x:c>
      <x:c r="O260" t="n">
        <x:f>MAX(0,-M260)</x:f>
        <x:v>0</x:v>
      </x:c>
      <x:c r="P260" t="str">
        <x:v>Ponto registrado — complemento ilustrativo</x:v>
      </x:c>
      <x:c r="Q260" t="str">
        <x:v>Saída da CONFERÊNCIA DE CAIXA; entrada/intervalo simulados</x:v>
      </x:c>
      <x:c r="R260" t="str">
        <x:v>2025-12</x:v>
      </x:c>
    </x:row>
    <x:row r="261" ht="21" customHeight="1">
      <x:c r="A261" s="83" t="n">
        <x:v>46017</x:v>
      </x:c>
      <x:c r="B261" t="str">
        <x:v>sexta-feira</x:v>
      </x:c>
      <x:c r="C261" s="85" t="n">
        <x:v>0.5395833333333333</x:v>
      </x:c>
      <x:c r="D261" s="85" t="n">
        <x:v>0.6680555555555555</x:v>
      </x:c>
      <x:c r="E261" s="85" t="n">
        <x:v>0.7111111111111111</x:v>
      </x:c>
      <x:c r="F261" s="85" t="n">
        <x:v>0.8888888888888888</x:v>
      </x:c>
      <x:c r="G261" t="str">
        <x:f>TEXT(INT(K261/60),"00")&amp;":"&amp;TEXT(MOD(K261,60),"00")</x:f>
        <x:v>07:21</x:v>
      </x:c>
      <x:c r="H261" t="str">
        <x:f>TEXT(INT(L261/60),"00")&amp;":"&amp;TEXT(MOD(L261,60),"00")</x:f>
        <x:v>07:20</x:v>
      </x:c>
      <x:c r="I261" t="str">
        <x:f>IF(N261&gt;0,"+"&amp;TEXT(INT(N261/60),"00")&amp;":"&amp;TEXT(MOD(N261,60),"00"),"00:00")</x:f>
        <x:v>+00:01</x:v>
      </x:c>
      <x:c r="J261" t="str">
        <x:f>IF(O261&gt;0,"-"&amp;TEXT(INT(O261/60),"00")&amp;":"&amp;TEXT(MOD(O261,60),"00"),"00:00")</x:f>
        <x:v>00:00</x:v>
      </x:c>
      <x:c r="K261" t="n">
        <x:f>ROUND((F261-C261-IF(OR(D261="",E261=""),0,E261-D261))*1440,0)</x:f>
        <x:v>441</x:v>
      </x:c>
      <x:c r="L261" t="n">
        <x:v>440</x:v>
      </x:c>
      <x:c r="M261" t="n">
        <x:f>K261-L261</x:f>
        <x:v>1</x:v>
      </x:c>
      <x:c r="N261" t="n">
        <x:f>MAX(0,M261)</x:f>
        <x:v>1</x:v>
      </x:c>
      <x:c r="O261" t="n">
        <x:f>MAX(0,-M261)</x:f>
        <x:v>0</x:v>
      </x:c>
      <x:c r="P261" t="str">
        <x:v>Ponto registrado — complemento ilustrativo</x:v>
      </x:c>
      <x:c r="Q261" t="str">
        <x:v>Saída da CONFERÊNCIA DE CAIXA; entrada/intervalo simulados</x:v>
      </x:c>
      <x:c r="R261" t="str">
        <x:v>2025-12</x:v>
      </x:c>
    </x:row>
    <x:row r="262" ht="21" customHeight="1">
      <x:c r="A262" s="83" t="n">
        <x:v>46018</x:v>
      </x:c>
      <x:c r="B262" t="str">
        <x:v>sábado</x:v>
      </x:c>
      <x:c r="C262" s="85" t="n">
        <x:v>0.5416666666666666</x:v>
      </x:c>
      <x:c r="D262" s="85" t="n">
        <x:v>0.65625</x:v>
      </x:c>
      <x:c r="E262" s="85" t="n">
        <x:v>0.6666666666666666</x:v>
      </x:c>
      <x:c r="F262" s="85" t="n">
        <x:v>0.7090277777777778</x:v>
      </x:c>
      <x:c r="G262" t="str">
        <x:f>TEXT(INT(K262/60),"00")&amp;":"&amp;TEXT(MOD(K262,60),"00")</x:f>
        <x:v>03:46</x:v>
      </x:c>
      <x:c r="H262" t="str">
        <x:f>TEXT(INT(L262/60),"00")&amp;":"&amp;TEXT(MOD(L262,60),"00")</x:f>
        <x:v>04:00</x:v>
      </x:c>
      <x:c r="I262" t="str">
        <x:f>IF(N262&gt;0,"+"&amp;TEXT(INT(N262/60),"00")&amp;":"&amp;TEXT(MOD(N262,60),"00"),"00:00")</x:f>
        <x:v>00:00</x:v>
      </x:c>
      <x:c r="J262" t="str">
        <x:f>IF(O262&gt;0,"-"&amp;TEXT(INT(O262/60),"00")&amp;":"&amp;TEXT(MOD(O262,60),"00"),"00:00")</x:f>
        <x:v>-00:14</x:v>
      </x:c>
      <x:c r="K262" t="n">
        <x:f>ROUND((F262-C262-IF(OR(D262="",E262=""),0,E262-D262))*1440,0)</x:f>
        <x:v>226</x:v>
      </x:c>
      <x:c r="L262" t="n">
        <x:v>240</x:v>
      </x:c>
      <x:c r="M262" t="n">
        <x:f>K262-L262</x:f>
        <x:v>-14</x:v>
      </x:c>
      <x:c r="N262" t="n">
        <x:f>MAX(0,M262)</x:f>
        <x:v>0</x:v>
      </x:c>
      <x:c r="O262" t="n">
        <x:f>MAX(0,-M262)</x:f>
        <x:v>14</x:v>
      </x:c>
      <x:c r="P262" t="str">
        <x:v>Ponto registrado — complemento ilustrativo</x:v>
      </x:c>
      <x:c r="Q262" t="str">
        <x:v>Saída da CONFERÊNCIA DE CAIXA; entrada/intervalo simulados</x:v>
      </x:c>
      <x:c r="R262" t="str">
        <x:v>2025-12</x:v>
      </x:c>
    </x:row>
    <x:row r="263" ht="21" customHeight="1">
      <x:c r="A263" s="83" t="n">
        <x:v>46020</x:v>
      </x:c>
      <x:c r="B263" t="str">
        <x:v>segunda-feira</x:v>
      </x:c>
      <x:c r="C263" s="85" t="n">
        <x:v>0.5458333333333333</x:v>
      </x:c>
      <x:c r="D263" s="85" t="n">
        <x:v>0.6680555555555555</x:v>
      </x:c>
      <x:c r="E263" s="85" t="n">
        <x:v>0.7111111111111111</x:v>
      </x:c>
      <x:c r="F263" s="85" t="n">
        <x:v>0.8777777777777778</x:v>
      </x:c>
      <x:c r="G263" t="str">
        <x:f>TEXT(INT(K263/60),"00")&amp;":"&amp;TEXT(MOD(K263,60),"00")</x:f>
        <x:v>06:56</x:v>
      </x:c>
      <x:c r="H263" t="str">
        <x:f>TEXT(INT(L263/60),"00")&amp;":"&amp;TEXT(MOD(L263,60),"00")</x:f>
        <x:v>07:20</x:v>
      </x:c>
      <x:c r="I263" t="str">
        <x:f>IF(N263&gt;0,"+"&amp;TEXT(INT(N263/60),"00")&amp;":"&amp;TEXT(MOD(N263,60),"00"),"00:00")</x:f>
        <x:v>00:00</x:v>
      </x:c>
      <x:c r="J263" t="str">
        <x:f>IF(O263&gt;0,"-"&amp;TEXT(INT(O263/60),"00")&amp;":"&amp;TEXT(MOD(O263,60),"00"),"00:00")</x:f>
        <x:v>-00:24</x:v>
      </x:c>
      <x:c r="K263" t="n">
        <x:f>ROUND((F263-C263-IF(OR(D263="",E263=""),0,E263-D263))*1440,0)</x:f>
        <x:v>416</x:v>
      </x:c>
      <x:c r="L263" t="n">
        <x:v>440</x:v>
      </x:c>
      <x:c r="M263" t="n">
        <x:f>K263-L263</x:f>
        <x:v>-24</x:v>
      </x:c>
      <x:c r="N263" t="n">
        <x:f>MAX(0,M263)</x:f>
        <x:v>0</x:v>
      </x:c>
      <x:c r="O263" t="n">
        <x:f>MAX(0,-M263)</x:f>
        <x:v>24</x:v>
      </x:c>
      <x:c r="P263" t="str">
        <x:v>Ponto registrado — complemento ilustrativo</x:v>
      </x:c>
      <x:c r="Q263" t="str">
        <x:v>Saída da CONFERÊNCIA DE CAIXA; entrada/intervalo simulados</x:v>
      </x:c>
      <x:c r="R263" t="str">
        <x:v>2025-12</x:v>
      </x:c>
    </x:row>
    <x:row r="264" ht="21" customHeight="1">
      <x:c r="A264" s="83" t="n">
        <x:v>46021</x:v>
      </x:c>
      <x:c r="B264" t="str">
        <x:v>terça-feira</x:v>
      </x:c>
      <x:c r="C264" s="85" t="n">
        <x:v>0.5402777777777777</x:v>
      </x:c>
      <x:c r="D264" s="85" t="n">
        <x:v>0.6791666666666667</x:v>
      </x:c>
      <x:c r="E264" s="85" t="n">
        <x:v>0.7236111111111111</x:v>
      </x:c>
      <x:c r="F264" s="85" t="n">
        <x:v>0.8902777777777777</x:v>
      </x:c>
      <x:c r="G264" t="str">
        <x:f>TEXT(INT(K264/60),"00")&amp;":"&amp;TEXT(MOD(K264,60),"00")</x:f>
        <x:v>07:20</x:v>
      </x:c>
      <x:c r="H264" t="str">
        <x:f>TEXT(INT(L264/60),"00")&amp;":"&amp;TEXT(MOD(L264,60),"00")</x:f>
        <x:v>07:20</x:v>
      </x:c>
      <x:c r="I264" t="str">
        <x:f>IF(N264&gt;0,"+"&amp;TEXT(INT(N264/60),"00")&amp;":"&amp;TEXT(MOD(N264,60),"00"),"00:00")</x:f>
        <x:v>00:00</x:v>
      </x:c>
      <x:c r="J264" t="str">
        <x:f>IF(O264&gt;0,"-"&amp;TEXT(INT(O264/60),"00")&amp;":"&amp;TEXT(MOD(O264,60),"00"),"00:00")</x:f>
        <x:v>00:00</x:v>
      </x:c>
      <x:c r="K264" t="n">
        <x:f>ROUND((F264-C264-IF(OR(D264="",E264=""),0,E264-D264))*1440,0)</x:f>
        <x:v>440</x:v>
      </x:c>
      <x:c r="L264" t="n">
        <x:v>440</x:v>
      </x:c>
      <x:c r="M264" t="n">
        <x:f>K264-L264</x:f>
        <x:v>0</x:v>
      </x:c>
      <x:c r="N264" t="n">
        <x:f>MAX(0,M264)</x:f>
        <x:v>0</x:v>
      </x:c>
      <x:c r="O264" t="n">
        <x:f>MAX(0,-M264)</x:f>
        <x:v>0</x:v>
      </x:c>
      <x:c r="P264" t="str">
        <x:v>Ponto registrado — complemento ilustrativo</x:v>
      </x:c>
      <x:c r="Q264" t="str">
        <x:v>Saída da CONFERÊNCIA DE CAIXA; entrada/intervalo simulados</x:v>
      </x:c>
      <x:c r="R264" t="str">
        <x:v>2025-12</x:v>
      </x:c>
    </x:row>
    <x:row r="265" ht="21" customHeight="1">
      <x:c r="A265" s="83" t="n">
        <x:v>46022</x:v>
      </x:c>
      <x:c r="B265" t="str">
        <x:v>quarta-feira</x:v>
      </x:c>
      <x:c r="C265" s="85" t="n">
        <x:v>0.5388888888888889</x:v>
      </x:c>
      <x:c r="D265" s="85" t="n">
        <x:v>0.6673611111111111</x:v>
      </x:c>
      <x:c r="E265" s="85" t="n">
        <x:v>0.7076388888888889</x:v>
      </x:c>
      <x:c r="F265" s="85" t="n">
        <x:v>0.8902777777777777</x:v>
      </x:c>
      <x:c r="G265" t="str">
        <x:f>TEXT(INT(K265/60),"00")&amp;":"&amp;TEXT(MOD(K265,60),"00")</x:f>
        <x:v>07:28</x:v>
      </x:c>
      <x:c r="H265" t="str">
        <x:f>TEXT(INT(L265/60),"00")&amp;":"&amp;TEXT(MOD(L265,60),"00")</x:f>
        <x:v>07:20</x:v>
      </x:c>
      <x:c r="I265" t="str">
        <x:f>IF(N265&gt;0,"+"&amp;TEXT(INT(N265/60),"00")&amp;":"&amp;TEXT(MOD(N265,60),"00"),"00:00")</x:f>
        <x:v>+00:08</x:v>
      </x:c>
      <x:c r="J265" t="str">
        <x:f>IF(O265&gt;0,"-"&amp;TEXT(INT(O265/60),"00")&amp;":"&amp;TEXT(MOD(O265,60),"00"),"00:00")</x:f>
        <x:v>00:00</x:v>
      </x:c>
      <x:c r="K265" t="n">
        <x:f>ROUND((F265-C265-IF(OR(D265="",E265=""),0,E265-D265))*1440,0)</x:f>
        <x:v>448</x:v>
      </x:c>
      <x:c r="L265" t="n">
        <x:v>440</x:v>
      </x:c>
      <x:c r="M265" t="n">
        <x:f>K265-L265</x:f>
        <x:v>8</x:v>
      </x:c>
      <x:c r="N265" t="n">
        <x:f>MAX(0,M265)</x:f>
        <x:v>8</x:v>
      </x:c>
      <x:c r="O265" t="n">
        <x:f>MAX(0,-M265)</x:f>
        <x:v>0</x:v>
      </x:c>
      <x:c r="P265" t="str">
        <x:v>Ponto registrado — complemento ilustrativo</x:v>
      </x:c>
      <x:c r="Q265" t="str">
        <x:v>Saída da CONFERÊNCIA DE CAIXA; entrada/intervalo simulados</x:v>
      </x:c>
      <x:c r="R265" t="str">
        <x:v>2025-12</x:v>
      </x:c>
    </x:row>
    <x:row r="266" ht="21" customHeight="1">
      <x:c r="A266" s="83" t="n">
        <x:v>46023</x:v>
      </x:c>
      <x:c r="B266" t="str">
        <x:v>quinta-feira</x:v>
      </x:c>
      <x:c r="C266" s="85" t="n">
        <x:v>0.5451388888888888</x:v>
      </x:c>
      <x:c r="D266" s="85" t="n">
        <x:v>0.6701388888888888</x:v>
      </x:c>
      <x:c r="E266" s="85" t="n">
        <x:v>0.7111111111111111</x:v>
      </x:c>
      <x:c r="F266" s="85" t="n">
        <x:v>0.8881944444444444</x:v>
      </x:c>
      <x:c r="G266" t="str">
        <x:f>TEXT(INT(K266/60),"00")&amp;":"&amp;TEXT(MOD(K266,60),"00")</x:f>
        <x:v>07:15</x:v>
      </x:c>
      <x:c r="H266" t="str">
        <x:f>TEXT(INT(L266/60),"00")&amp;":"&amp;TEXT(MOD(L266,60),"00")</x:f>
        <x:v>07:20</x:v>
      </x:c>
      <x:c r="I266" t="str">
        <x:f>IF(N266&gt;0,"+"&amp;TEXT(INT(N266/60),"00")&amp;":"&amp;TEXT(MOD(N266,60),"00"),"00:00")</x:f>
        <x:v>00:00</x:v>
      </x:c>
      <x:c r="J266" t="str">
        <x:f>IF(O266&gt;0,"-"&amp;TEXT(INT(O266/60),"00")&amp;":"&amp;TEXT(MOD(O266,60),"00"),"00:00")</x:f>
        <x:v>-00:05</x:v>
      </x:c>
      <x:c r="K266" t="n">
        <x:f>ROUND((F266-C266-IF(OR(D266="",E266=""),0,E266-D266))*1440,0)</x:f>
        <x:v>435</x:v>
      </x:c>
      <x:c r="L266" t="n">
        <x:v>440</x:v>
      </x:c>
      <x:c r="M266" t="n">
        <x:f>K266-L266</x:f>
        <x:v>-5</x:v>
      </x:c>
      <x:c r="N266" t="n">
        <x:f>MAX(0,M266)</x:f>
        <x:v>0</x:v>
      </x:c>
      <x:c r="O266" t="n">
        <x:f>MAX(0,-M266)</x:f>
        <x:v>5</x:v>
      </x:c>
      <x:c r="P266" t="str">
        <x:v>Ponto registrado — complemento ilustrativo</x:v>
      </x:c>
      <x:c r="Q266" t="str">
        <x:v>Saída da CONFERÊNCIA DE CAIXA; entrada/intervalo simulados</x:v>
      </x:c>
      <x:c r="R266" t="str">
        <x:v>2026-01</x:v>
      </x:c>
    </x:row>
    <x:row r="267" ht="21" customHeight="1">
      <x:c r="A267" s="83" t="n">
        <x:v>46024</x:v>
      </x:c>
      <x:c r="B267" t="str">
        <x:v>sexta-feira</x:v>
      </x:c>
      <x:c r="C267" s="85" t="n">
        <x:v>0.5451388888888888</x:v>
      </x:c>
      <x:c r="D267" s="85" t="n">
        <x:v>0.6729166666666667</x:v>
      </x:c>
      <x:c r="E267" s="85" t="n">
        <x:v>0.7152777777777778</x:v>
      </x:c>
      <x:c r="F267" s="85" t="n">
        <x:v>0.8881944444444444</x:v>
      </x:c>
      <x:c r="G267" t="str">
        <x:f>TEXT(INT(K267/60),"00")&amp;":"&amp;TEXT(MOD(K267,60),"00")</x:f>
        <x:v>07:13</x:v>
      </x:c>
      <x:c r="H267" t="str">
        <x:f>TEXT(INT(L267/60),"00")&amp;":"&amp;TEXT(MOD(L267,60),"00")</x:f>
        <x:v>07:20</x:v>
      </x:c>
      <x:c r="I267" t="str">
        <x:f>IF(N267&gt;0,"+"&amp;TEXT(INT(N267/60),"00")&amp;":"&amp;TEXT(MOD(N267,60),"00"),"00:00")</x:f>
        <x:v>00:00</x:v>
      </x:c>
      <x:c r="J267" t="str">
        <x:f>IF(O267&gt;0,"-"&amp;TEXT(INT(O267/60),"00")&amp;":"&amp;TEXT(MOD(O267,60),"00"),"00:00")</x:f>
        <x:v>-00:07</x:v>
      </x:c>
      <x:c r="K267" t="n">
        <x:f>ROUND((F267-C267-IF(OR(D267="",E267=""),0,E267-D267))*1440,0)</x:f>
        <x:v>433</x:v>
      </x:c>
      <x:c r="L267" t="n">
        <x:v>440</x:v>
      </x:c>
      <x:c r="M267" t="n">
        <x:f>K267-L267</x:f>
        <x:v>-7</x:v>
      </x:c>
      <x:c r="N267" t="n">
        <x:f>MAX(0,M267)</x:f>
        <x:v>0</x:v>
      </x:c>
      <x:c r="O267" t="n">
        <x:f>MAX(0,-M267)</x:f>
        <x:v>7</x:v>
      </x:c>
      <x:c r="P267" t="str">
        <x:v>Ponto registrado — complemento ilustrativo</x:v>
      </x:c>
      <x:c r="Q267" t="str">
        <x:v>Saída da CONFERÊNCIA DE CAIXA; entrada/intervalo simulados</x:v>
      </x:c>
      <x:c r="R267" t="str">
        <x:v>2026-01</x:v>
      </x:c>
    </x:row>
    <x:row r="268" ht="21" customHeight="1">
      <x:c r="A268" s="83" t="n">
        <x:v>46025</x:v>
      </x:c>
      <x:c r="B268" t="str">
        <x:v>sábado</x:v>
      </x:c>
      <x:c r="C268" s="85" t="n">
        <x:v>0.5444444444444444</x:v>
      </x:c>
      <x:c r="D268" s="85"/>
      <x:c r="E268" s="85"/>
      <x:c r="F268" s="85" t="n">
        <x:v>0.7013888888888888</x:v>
      </x:c>
      <x:c r="G268" t="str">
        <x:f>TEXT(INT(K268/60),"00")&amp;":"&amp;TEXT(MOD(K268,60),"00")</x:f>
        <x:v>03:46</x:v>
      </x:c>
      <x:c r="H268" t="str">
        <x:f>TEXT(INT(L268/60),"00")&amp;":"&amp;TEXT(MOD(L268,60),"00")</x:f>
        <x:v>04:00</x:v>
      </x:c>
      <x:c r="I268" t="str">
        <x:f>IF(N268&gt;0,"+"&amp;TEXT(INT(N268/60),"00")&amp;":"&amp;TEXT(MOD(N268,60),"00"),"00:00")</x:f>
        <x:v>00:00</x:v>
      </x:c>
      <x:c r="J268" t="str">
        <x:f>IF(O268&gt;0,"-"&amp;TEXT(INT(O268/60),"00")&amp;":"&amp;TEXT(MOD(O268,60),"00"),"00:00")</x:f>
        <x:v>-00:14</x:v>
      </x:c>
      <x:c r="K268" t="n">
        <x:f>ROUND((F268-C268-IF(OR(D268="",E268=""),0,E268-D268))*1440,0)</x:f>
        <x:v>226</x:v>
      </x:c>
      <x:c r="L268" t="n">
        <x:v>240</x:v>
      </x:c>
      <x:c r="M268" t="n">
        <x:f>K268-L268</x:f>
        <x:v>-14</x:v>
      </x:c>
      <x:c r="N268" t="n">
        <x:f>MAX(0,M268)</x:f>
        <x:v>0</x:v>
      </x:c>
      <x:c r="O268" t="n">
        <x:f>MAX(0,-M268)</x:f>
        <x:v>14</x:v>
      </x:c>
      <x:c r="P268" t="str">
        <x:v>Ponto registrado — complemento ilustrativo</x:v>
      </x:c>
      <x:c r="Q268" t="str">
        <x:v>Saída da CONFERÊNCIA DE CAIXA; entrada/intervalo simulados</x:v>
      </x:c>
      <x:c r="R268" t="str">
        <x:v>2026-01</x:v>
      </x:c>
    </x:row>
    <x:row r="269" ht="21" customHeight="1">
      <x:c r="A269" s="83" t="n">
        <x:v>46027</x:v>
      </x:c>
      <x:c r="B269" t="str">
        <x:v>segunda-feira</x:v>
      </x:c>
      <x:c r="C269" s="85" t="n">
        <x:v>0.5388888888888889</x:v>
      </x:c>
      <x:c r="D269" s="85" t="n">
        <x:v>0.6736111111111112</x:v>
      </x:c>
      <x:c r="E269" s="85" t="n">
        <x:v>0.7138888888888889</x:v>
      </x:c>
      <x:c r="F269" s="85" t="n">
        <x:v>0.8902777777777777</x:v>
      </x:c>
      <x:c r="G269" t="str">
        <x:f>TEXT(INT(K269/60),"00")&amp;":"&amp;TEXT(MOD(K269,60),"00")</x:f>
        <x:v>07:28</x:v>
      </x:c>
      <x:c r="H269" t="str">
        <x:f>TEXT(INT(L269/60),"00")&amp;":"&amp;TEXT(MOD(L269,60),"00")</x:f>
        <x:v>07:20</x:v>
      </x:c>
      <x:c r="I269" t="str">
        <x:f>IF(N269&gt;0,"+"&amp;TEXT(INT(N269/60),"00")&amp;":"&amp;TEXT(MOD(N269,60),"00"),"00:00")</x:f>
        <x:v>+00:08</x:v>
      </x:c>
      <x:c r="J269" t="str">
        <x:f>IF(O269&gt;0,"-"&amp;TEXT(INT(O269/60),"00")&amp;":"&amp;TEXT(MOD(O269,60),"00"),"00:00")</x:f>
        <x:v>00:00</x:v>
      </x:c>
      <x:c r="K269" t="n">
        <x:f>ROUND((F269-C269-IF(OR(D269="",E269=""),0,E269-D269))*1440,0)</x:f>
        <x:v>448</x:v>
      </x:c>
      <x:c r="L269" t="n">
        <x:v>440</x:v>
      </x:c>
      <x:c r="M269" t="n">
        <x:f>K269-L269</x:f>
        <x:v>8</x:v>
      </x:c>
      <x:c r="N269" t="n">
        <x:f>MAX(0,M269)</x:f>
        <x:v>8</x:v>
      </x:c>
      <x:c r="O269" t="n">
        <x:f>MAX(0,-M269)</x:f>
        <x:v>0</x:v>
      </x:c>
      <x:c r="P269" t="str">
        <x:v>Ponto registrado — jornada revisada</x:v>
      </x:c>
      <x:c r="Q269" t="str">
        <x:v>Horários da planilha de jornadas revisada</x:v>
      </x:c>
      <x:c r="R269" t="str">
        <x:v>2026-01</x:v>
      </x:c>
    </x:row>
    <x:row r="270" ht="21" customHeight="1">
      <x:c r="A270" s="83" t="n">
        <x:v>46028</x:v>
      </x:c>
      <x:c r="B270" t="str">
        <x:v>terça-feira</x:v>
      </x:c>
      <x:c r="C270" s="85" t="n">
        <x:v>0.5395833333333333</x:v>
      </x:c>
      <x:c r="D270" s="85" t="n">
        <x:v>0.6680555555555555</x:v>
      </x:c>
      <x:c r="E270" s="85" t="n">
        <x:v>0.7118055555555556</x:v>
      </x:c>
      <x:c r="F270" s="85" t="n">
        <x:v>0.8868055555555555</x:v>
      </x:c>
      <x:c r="G270" t="str">
        <x:f>TEXT(INT(K270/60),"00")&amp;":"&amp;TEXT(MOD(K270,60),"00")</x:f>
        <x:v>07:17</x:v>
      </x:c>
      <x:c r="H270" t="str">
        <x:f>TEXT(INT(L270/60),"00")&amp;":"&amp;TEXT(MOD(L270,60),"00")</x:f>
        <x:v>07:20</x:v>
      </x:c>
      <x:c r="I270" t="str">
        <x:f>IF(N270&gt;0,"+"&amp;TEXT(INT(N270/60),"00")&amp;":"&amp;TEXT(MOD(N270,60),"00"),"00:00")</x:f>
        <x:v>00:00</x:v>
      </x:c>
      <x:c r="J270" t="str">
        <x:f>IF(O270&gt;0,"-"&amp;TEXT(INT(O270/60),"00")&amp;":"&amp;TEXT(MOD(O270,60),"00"),"00:00")</x:f>
        <x:v>-00:03</x:v>
      </x:c>
      <x:c r="K270" t="n">
        <x:f>ROUND((F270-C270-IF(OR(D270="",E270=""),0,E270-D270))*1440,0)</x:f>
        <x:v>437</x:v>
      </x:c>
      <x:c r="L270" t="n">
        <x:v>440</x:v>
      </x:c>
      <x:c r="M270" t="n">
        <x:f>K270-L270</x:f>
        <x:v>-3</x:v>
      </x:c>
      <x:c r="N270" t="n">
        <x:f>MAX(0,M270)</x:f>
        <x:v>0</x:v>
      </x:c>
      <x:c r="O270" t="n">
        <x:f>MAX(0,-M270)</x:f>
        <x:v>3</x:v>
      </x:c>
      <x:c r="P270" t="str">
        <x:v>Ponto registrado — complemento ilustrativo</x:v>
      </x:c>
      <x:c r="Q270" t="str">
        <x:v>Saída da CONFERÊNCIA DE CAIXA; entrada/intervalo simulados</x:v>
      </x:c>
      <x:c r="R270" t="str">
        <x:v>2026-01</x:v>
      </x:c>
    </x:row>
    <x:row r="271" ht="21" customHeight="1">
      <x:c r="A271" s="83" t="n">
        <x:v>46029</x:v>
      </x:c>
      <x:c r="B271" t="str">
        <x:v>quarta-feira</x:v>
      </x:c>
      <x:c r="C271" s="85" t="n">
        <x:v>0.5458333333333333</x:v>
      </x:c>
      <x:c r="D271" s="85" t="n">
        <x:v>0.6805555555555556</x:v>
      </x:c>
      <x:c r="E271" s="85" t="n">
        <x:v>0.7201388888888889</x:v>
      </x:c>
      <x:c r="F271" s="85" t="n">
        <x:v>0.8909722222222223</x:v>
      </x:c>
      <x:c r="G271" t="str">
        <x:f>TEXT(INT(K271/60),"00")&amp;":"&amp;TEXT(MOD(K271,60),"00")</x:f>
        <x:v>07:20</x:v>
      </x:c>
      <x:c r="H271" t="str">
        <x:f>TEXT(INT(L271/60),"00")&amp;":"&amp;TEXT(MOD(L271,60),"00")</x:f>
        <x:v>07:20</x:v>
      </x:c>
      <x:c r="I271" t="str">
        <x:f>IF(N271&gt;0,"+"&amp;TEXT(INT(N271/60),"00")&amp;":"&amp;TEXT(MOD(N271,60),"00"),"00:00")</x:f>
        <x:v>00:00</x:v>
      </x:c>
      <x:c r="J271" t="str">
        <x:f>IF(O271&gt;0,"-"&amp;TEXT(INT(O271/60),"00")&amp;":"&amp;TEXT(MOD(O271,60),"00"),"00:00")</x:f>
        <x:v>00:00</x:v>
      </x:c>
      <x:c r="K271" t="n">
        <x:f>ROUND((F271-C271-IF(OR(D271="",E271=""),0,E271-D271))*1440,0)</x:f>
        <x:v>440</x:v>
      </x:c>
      <x:c r="L271" t="n">
        <x:v>440</x:v>
      </x:c>
      <x:c r="M271" t="n">
        <x:f>K271-L271</x:f>
        <x:v>0</x:v>
      </x:c>
      <x:c r="N271" t="n">
        <x:f>MAX(0,M271)</x:f>
        <x:v>0</x:v>
      </x:c>
      <x:c r="O271" t="n">
        <x:f>MAX(0,-M271)</x:f>
        <x:v>0</x:v>
      </x:c>
      <x:c r="P271" t="str">
        <x:v>Ponto registrado — jornada revisada</x:v>
      </x:c>
      <x:c r="Q271" t="str">
        <x:v>Horários da planilha de jornadas revisada</x:v>
      </x:c>
      <x:c r="R271" t="str">
        <x:v>2026-01</x:v>
      </x:c>
    </x:row>
    <x:row r="272" ht="21" customHeight="1">
      <x:c r="A272" s="83" t="n">
        <x:v>46030</x:v>
      </x:c>
      <x:c r="B272" t="str">
        <x:v>quinta-feira</x:v>
      </x:c>
      <x:c r="C272" s="85" t="n">
        <x:v>0.5451388888888888</x:v>
      </x:c>
      <x:c r="D272" s="85" t="n">
        <x:v>0.6763888888888889</x:v>
      </x:c>
      <x:c r="E272" s="85" t="n">
        <x:v>0.7152777777777778</x:v>
      </x:c>
      <x:c r="F272" s="85" t="n">
        <x:v>0.8888888888888888</x:v>
      </x:c>
      <x:c r="G272" t="str">
        <x:f>TEXT(INT(K272/60),"00")&amp;":"&amp;TEXT(MOD(K272,60),"00")</x:f>
        <x:v>07:19</x:v>
      </x:c>
      <x:c r="H272" t="str">
        <x:f>TEXT(INT(L272/60),"00")&amp;":"&amp;TEXT(MOD(L272,60),"00")</x:f>
        <x:v>07:20</x:v>
      </x:c>
      <x:c r="I272" t="str">
        <x:f>IF(N272&gt;0,"+"&amp;TEXT(INT(N272/60),"00")&amp;":"&amp;TEXT(MOD(N272,60),"00"),"00:00")</x:f>
        <x:v>00:00</x:v>
      </x:c>
      <x:c r="J272" t="str">
        <x:f>IF(O272&gt;0,"-"&amp;TEXT(INT(O272/60),"00")&amp;":"&amp;TEXT(MOD(O272,60),"00"),"00:00")</x:f>
        <x:v>-00:01</x:v>
      </x:c>
      <x:c r="K272" t="n">
        <x:f>ROUND((F272-C272-IF(OR(D272="",E272=""),0,E272-D272))*1440,0)</x:f>
        <x:v>439</x:v>
      </x:c>
      <x:c r="L272" t="n">
        <x:v>440</x:v>
      </x:c>
      <x:c r="M272" t="n">
        <x:f>K272-L272</x:f>
        <x:v>-1</x:v>
      </x:c>
      <x:c r="N272" t="n">
        <x:f>MAX(0,M272)</x:f>
        <x:v>0</x:v>
      </x:c>
      <x:c r="O272" t="n">
        <x:f>MAX(0,-M272)</x:f>
        <x:v>1</x:v>
      </x:c>
      <x:c r="P272" t="str">
        <x:v>Ponto registrado — complemento ilustrativo</x:v>
      </x:c>
      <x:c r="Q272" t="str">
        <x:v>Saída da CONFERÊNCIA DE CAIXA; entrada/intervalo simulados</x:v>
      </x:c>
      <x:c r="R272" t="str">
        <x:v>2026-01</x:v>
      </x:c>
    </x:row>
    <x:row r="273" ht="21" customHeight="1">
      <x:c r="A273" s="83" t="n">
        <x:v>46031</x:v>
      </x:c>
      <x:c r="B273" t="str">
        <x:v>sexta-feira</x:v>
      </x:c>
      <x:c r="C273" s="85" t="n">
        <x:v>0.5430555555555555</x:v>
      </x:c>
      <x:c r="D273" s="85" t="n">
        <x:v>0.6743055555555556</x:v>
      </x:c>
      <x:c r="E273" s="85" t="n">
        <x:v>0.7138888888888889</x:v>
      </x:c>
      <x:c r="F273" s="85" t="n">
        <x:v>0.8902777777777777</x:v>
      </x:c>
      <x:c r="G273" t="str">
        <x:f>TEXT(INT(K273/60),"00")&amp;":"&amp;TEXT(MOD(K273,60),"00")</x:f>
        <x:v>07:23</x:v>
      </x:c>
      <x:c r="H273" t="str">
        <x:f>TEXT(INT(L273/60),"00")&amp;":"&amp;TEXT(MOD(L273,60),"00")</x:f>
        <x:v>07:20</x:v>
      </x:c>
      <x:c r="I273" t="str">
        <x:f>IF(N273&gt;0,"+"&amp;TEXT(INT(N273/60),"00")&amp;":"&amp;TEXT(MOD(N273,60),"00"),"00:00")</x:f>
        <x:v>+00:03</x:v>
      </x:c>
      <x:c r="J273" t="str">
        <x:f>IF(O273&gt;0,"-"&amp;TEXT(INT(O273/60),"00")&amp;":"&amp;TEXT(MOD(O273,60),"00"),"00:00")</x:f>
        <x:v>00:00</x:v>
      </x:c>
      <x:c r="K273" t="n">
        <x:f>ROUND((F273-C273-IF(OR(D273="",E273=""),0,E273-D273))*1440,0)</x:f>
        <x:v>443</x:v>
      </x:c>
      <x:c r="L273" t="n">
        <x:v>440</x:v>
      </x:c>
      <x:c r="M273" t="n">
        <x:f>K273-L273</x:f>
        <x:v>3</x:v>
      </x:c>
      <x:c r="N273" t="n">
        <x:f>MAX(0,M273)</x:f>
        <x:v>3</x:v>
      </x:c>
      <x:c r="O273" t="n">
        <x:f>MAX(0,-M273)</x:f>
        <x:v>0</x:v>
      </x:c>
      <x:c r="P273" t="str">
        <x:v>Ponto registrado — complemento ilustrativo</x:v>
      </x:c>
      <x:c r="Q273" t="str">
        <x:v>Saída da CONFERÊNCIA DE CAIXA; entrada/intervalo simulados</x:v>
      </x:c>
      <x:c r="R273" t="str">
        <x:v>2026-01</x:v>
      </x:c>
    </x:row>
    <x:row r="274" ht="21" customHeight="1">
      <x:c r="A274" s="83" t="n">
        <x:v>46032</x:v>
      </x:c>
      <x:c r="B274" t="str">
        <x:v>sábado</x:v>
      </x:c>
      <x:c r="C274" s="85" t="n">
        <x:v>0.5423611111111111</x:v>
      </x:c>
      <x:c r="D274" s="85" t="n">
        <x:v>0.6597222222222222</x:v>
      </x:c>
      <x:c r="E274" s="85" t="n">
        <x:v>0.6701388888888888</x:v>
      </x:c>
      <x:c r="F274" s="85" t="n">
        <x:v>0.7097222222222223</x:v>
      </x:c>
      <x:c r="G274" t="str">
        <x:f>TEXT(INT(K274/60),"00")&amp;":"&amp;TEXT(MOD(K274,60),"00")</x:f>
        <x:v>03:46</x:v>
      </x:c>
      <x:c r="H274" t="str">
        <x:f>TEXT(INT(L274/60),"00")&amp;":"&amp;TEXT(MOD(L274,60),"00")</x:f>
        <x:v>04:00</x:v>
      </x:c>
      <x:c r="I274" t="str">
        <x:f>IF(N274&gt;0,"+"&amp;TEXT(INT(N274/60),"00")&amp;":"&amp;TEXT(MOD(N274,60),"00"),"00:00")</x:f>
        <x:v>00:00</x:v>
      </x:c>
      <x:c r="J274" t="str">
        <x:f>IF(O274&gt;0,"-"&amp;TEXT(INT(O274/60),"00")&amp;":"&amp;TEXT(MOD(O274,60),"00"),"00:00")</x:f>
        <x:v>-00:14</x:v>
      </x:c>
      <x:c r="K274" t="n">
        <x:f>ROUND((F274-C274-IF(OR(D274="",E274=""),0,E274-D274))*1440,0)</x:f>
        <x:v>226</x:v>
      </x:c>
      <x:c r="L274" t="n">
        <x:v>240</x:v>
      </x:c>
      <x:c r="M274" t="n">
        <x:f>K274-L274</x:f>
        <x:v>-14</x:v>
      </x:c>
      <x:c r="N274" t="n">
        <x:f>MAX(0,M274)</x:f>
        <x:v>0</x:v>
      </x:c>
      <x:c r="O274" t="n">
        <x:f>MAX(0,-M274)</x:f>
        <x:v>14</x:v>
      </x:c>
      <x:c r="P274" t="str">
        <x:v>Ponto registrado — complemento ilustrativo</x:v>
      </x:c>
      <x:c r="Q274" t="str">
        <x:v>Saída da CONFERÊNCIA DE CAIXA; entrada/intervalo simulados</x:v>
      </x:c>
      <x:c r="R274" t="str">
        <x:v>2026-01</x:v>
      </x:c>
    </x:row>
    <x:row r="275" ht="21" customHeight="1">
      <x:c r="A275" s="83" t="n">
        <x:v>46034</x:v>
      </x:c>
      <x:c r="B275" t="str">
        <x:v>segunda-feira</x:v>
      </x:c>
      <x:c r="C275" s="85" t="n">
        <x:v>0.5423611111111111</x:v>
      </x:c>
      <x:c r="D275" s="85" t="n">
        <x:v>0.6701388888888888</x:v>
      </x:c>
      <x:c r="E275" s="85" t="n">
        <x:v>0.7090277777777778</x:v>
      </x:c>
      <x:c r="F275" s="85" t="n">
        <x:v>0.8902777777777777</x:v>
      </x:c>
      <x:c r="G275" t="str">
        <x:f>TEXT(INT(K275/60),"00")&amp;":"&amp;TEXT(MOD(K275,60),"00")</x:f>
        <x:v>07:25</x:v>
      </x:c>
      <x:c r="H275" t="str">
        <x:f>TEXT(INT(L275/60),"00")&amp;":"&amp;TEXT(MOD(L275,60),"00")</x:f>
        <x:v>07:20</x:v>
      </x:c>
      <x:c r="I275" t="str">
        <x:f>IF(N275&gt;0,"+"&amp;TEXT(INT(N275/60),"00")&amp;":"&amp;TEXT(MOD(N275,60),"00"),"00:00")</x:f>
        <x:v>+00:05</x:v>
      </x:c>
      <x:c r="J275" t="str">
        <x:f>IF(O275&gt;0,"-"&amp;TEXT(INT(O275/60),"00")&amp;":"&amp;TEXT(MOD(O275,60),"00"),"00:00")</x:f>
        <x:v>00:00</x:v>
      </x:c>
      <x:c r="K275" t="n">
        <x:f>ROUND((F275-C275-IF(OR(D275="",E275=""),0,E275-D275))*1440,0)</x:f>
        <x:v>445</x:v>
      </x:c>
      <x:c r="L275" t="n">
        <x:v>440</x:v>
      </x:c>
      <x:c r="M275" t="n">
        <x:f>K275-L275</x:f>
        <x:v>5</x:v>
      </x:c>
      <x:c r="N275" t="n">
        <x:f>MAX(0,M275)</x:f>
        <x:v>5</x:v>
      </x:c>
      <x:c r="O275" t="n">
        <x:f>MAX(0,-M275)</x:f>
        <x:v>0</x:v>
      </x:c>
      <x:c r="P275" t="str">
        <x:v>Ponto registrado — complemento ilustrativo</x:v>
      </x:c>
      <x:c r="Q275" t="str">
        <x:v>Saída da CONFERÊNCIA DE CAIXA; entrada/intervalo simulados</x:v>
      </x:c>
      <x:c r="R275" t="str">
        <x:v>2026-01</x:v>
      </x:c>
    </x:row>
    <x:row r="276" ht="21" customHeight="1">
      <x:c r="A276" s="83" t="n">
        <x:v>46035</x:v>
      </x:c>
      <x:c r="B276" t="str">
        <x:v>terça-feira</x:v>
      </x:c>
      <x:c r="C276" s="85" t="n">
        <x:v>0.5458333333333333</x:v>
      </x:c>
      <x:c r="D276" s="85" t="n">
        <x:v>0.6659722222222222</x:v>
      </x:c>
      <x:c r="E276" s="85" t="n">
        <x:v>0.7076388888888889</x:v>
      </x:c>
      <x:c r="F276" s="85" t="n">
        <x:v>0.8902777777777777</x:v>
      </x:c>
      <x:c r="G276" t="str">
        <x:f>TEXT(INT(K276/60),"00")&amp;":"&amp;TEXT(MOD(K276,60),"00")</x:f>
        <x:v>07:16</x:v>
      </x:c>
      <x:c r="H276" t="str">
        <x:f>TEXT(INT(L276/60),"00")&amp;":"&amp;TEXT(MOD(L276,60),"00")</x:f>
        <x:v>07:20</x:v>
      </x:c>
      <x:c r="I276" t="str">
        <x:f>IF(N276&gt;0,"+"&amp;TEXT(INT(N276/60),"00")&amp;":"&amp;TEXT(MOD(N276,60),"00"),"00:00")</x:f>
        <x:v>00:00</x:v>
      </x:c>
      <x:c r="J276" t="str">
        <x:f>IF(O276&gt;0,"-"&amp;TEXT(INT(O276/60),"00")&amp;":"&amp;TEXT(MOD(O276,60),"00"),"00:00")</x:f>
        <x:v>-00:04</x:v>
      </x:c>
      <x:c r="K276" t="n">
        <x:f>ROUND((F276-C276-IF(OR(D276="",E276=""),0,E276-D276))*1440,0)</x:f>
        <x:v>436</x:v>
      </x:c>
      <x:c r="L276" t="n">
        <x:v>440</x:v>
      </x:c>
      <x:c r="M276" t="n">
        <x:f>K276-L276</x:f>
        <x:v>-4</x:v>
      </x:c>
      <x:c r="N276" t="n">
        <x:f>MAX(0,M276)</x:f>
        <x:v>0</x:v>
      </x:c>
      <x:c r="O276" t="n">
        <x:f>MAX(0,-M276)</x:f>
        <x:v>4</x:v>
      </x:c>
      <x:c r="P276" t="str">
        <x:v>Ponto registrado — complemento ilustrativo</x:v>
      </x:c>
      <x:c r="Q276" t="str">
        <x:v>Saída da CONFERÊNCIA DE CAIXA; entrada/intervalo simulados</x:v>
      </x:c>
      <x:c r="R276" t="str">
        <x:v>2026-01</x:v>
      </x:c>
    </x:row>
    <x:row r="277" ht="21" customHeight="1">
      <x:c r="A277" s="83" t="n">
        <x:v>46036</x:v>
      </x:c>
      <x:c r="B277" t="str">
        <x:v>quarta-feira</x:v>
      </x:c>
      <x:c r="C277" s="85" t="n">
        <x:v>0.5381944444444444</x:v>
      </x:c>
      <x:c r="D277" s="85" t="n">
        <x:v>0.66875</x:v>
      </x:c>
      <x:c r="E277" s="85" t="n">
        <x:v>0.7111111111111111</x:v>
      </x:c>
      <x:c r="F277" s="85" t="n">
        <x:v>0.8909722222222223</x:v>
      </x:c>
      <x:c r="G277" t="str">
        <x:f>TEXT(INT(K277/60),"00")&amp;":"&amp;TEXT(MOD(K277,60),"00")</x:f>
        <x:v>07:27</x:v>
      </x:c>
      <x:c r="H277" t="str">
        <x:f>TEXT(INT(L277/60),"00")&amp;":"&amp;TEXT(MOD(L277,60),"00")</x:f>
        <x:v>07:20</x:v>
      </x:c>
      <x:c r="I277" t="str">
        <x:f>IF(N277&gt;0,"+"&amp;TEXT(INT(N277/60),"00")&amp;":"&amp;TEXT(MOD(N277,60),"00"),"00:00")</x:f>
        <x:v>+00:07</x:v>
      </x:c>
      <x:c r="J277" t="str">
        <x:f>IF(O277&gt;0,"-"&amp;TEXT(INT(O277/60),"00")&amp;":"&amp;TEXT(MOD(O277,60),"00"),"00:00")</x:f>
        <x:v>00:00</x:v>
      </x:c>
      <x:c r="K277" t="n">
        <x:f>ROUND((F277-C277-IF(OR(D277="",E277=""),0,E277-D277))*1440,0)</x:f>
        <x:v>447</x:v>
      </x:c>
      <x:c r="L277" t="n">
        <x:v>440</x:v>
      </x:c>
      <x:c r="M277" t="n">
        <x:f>K277-L277</x:f>
        <x:v>7</x:v>
      </x:c>
      <x:c r="N277" t="n">
        <x:f>MAX(0,M277)</x:f>
        <x:v>7</x:v>
      </x:c>
      <x:c r="O277" t="n">
        <x:f>MAX(0,-M277)</x:f>
        <x:v>0</x:v>
      </x:c>
      <x:c r="P277" t="str">
        <x:v>Ponto registrado — complemento ilustrativo</x:v>
      </x:c>
      <x:c r="Q277" t="str">
        <x:v>Saída da CONFERÊNCIA DE CAIXA; entrada/intervalo simulados</x:v>
      </x:c>
      <x:c r="R277" t="str">
        <x:v>2026-01</x:v>
      </x:c>
    </x:row>
    <x:row r="278" ht="21" customHeight="1">
      <x:c r="A278" s="83" t="n">
        <x:v>46037</x:v>
      </x:c>
      <x:c r="B278" t="str">
        <x:v>quinta-feira</x:v>
      </x:c>
      <x:c r="C278" s="85" t="n">
        <x:v>0.5375</x:v>
      </x:c>
      <x:c r="D278" s="85" t="n">
        <x:v>0.6680555555555555</x:v>
      </x:c>
      <x:c r="E278" s="85" t="n">
        <x:v>0.7118055555555556</x:v>
      </x:c>
      <x:c r="F278" s="85" t="n">
        <x:v>0.8888888888888888</x:v>
      </x:c>
      <x:c r="G278" t="str">
        <x:f>TEXT(INT(K278/60),"00")&amp;":"&amp;TEXT(MOD(K278,60),"00")</x:f>
        <x:v>07:23</x:v>
      </x:c>
      <x:c r="H278" t="str">
        <x:f>TEXT(INT(L278/60),"00")&amp;":"&amp;TEXT(MOD(L278,60),"00")</x:f>
        <x:v>07:20</x:v>
      </x:c>
      <x:c r="I278" t="str">
        <x:f>IF(N278&gt;0,"+"&amp;TEXT(INT(N278/60),"00")&amp;":"&amp;TEXT(MOD(N278,60),"00"),"00:00")</x:f>
        <x:v>+00:03</x:v>
      </x:c>
      <x:c r="J278" t="str">
        <x:f>IF(O278&gt;0,"-"&amp;TEXT(INT(O278/60),"00")&amp;":"&amp;TEXT(MOD(O278,60),"00"),"00:00")</x:f>
        <x:v>00:00</x:v>
      </x:c>
      <x:c r="K278" t="n">
        <x:f>ROUND((F278-C278-IF(OR(D278="",E278=""),0,E278-D278))*1440,0)</x:f>
        <x:v>443</x:v>
      </x:c>
      <x:c r="L278" t="n">
        <x:v>440</x:v>
      </x:c>
      <x:c r="M278" t="n">
        <x:f>K278-L278</x:f>
        <x:v>3</x:v>
      </x:c>
      <x:c r="N278" t="n">
        <x:f>MAX(0,M278)</x:f>
        <x:v>3</x:v>
      </x:c>
      <x:c r="O278" t="n">
        <x:f>MAX(0,-M278)</x:f>
        <x:v>0</x:v>
      </x:c>
      <x:c r="P278" t="str">
        <x:v>Ponto registrado — complemento ilustrativo</x:v>
      </x:c>
      <x:c r="Q278" t="str">
        <x:v>Saída da CONFERÊNCIA DE CAIXA; entrada/intervalo simulados</x:v>
      </x:c>
      <x:c r="R278" t="str">
        <x:v>2026-01</x:v>
      </x:c>
    </x:row>
    <x:row r="279" ht="21" customHeight="1">
      <x:c r="A279" s="83" t="n">
        <x:v>46038</x:v>
      </x:c>
      <x:c r="B279" t="str">
        <x:v>sexta-feira</x:v>
      </x:c>
      <x:c r="C279" s="85" t="n">
        <x:v>0.5375</x:v>
      </x:c>
      <x:c r="D279" s="85" t="n">
        <x:v>0.6791666666666667</x:v>
      </x:c>
      <x:c r="E279" s="85" t="n">
        <x:v>0.7180555555555556</x:v>
      </x:c>
      <x:c r="F279" s="85" t="n">
        <x:v>0.8888888888888888</x:v>
      </x:c>
      <x:c r="G279" t="str">
        <x:f>TEXT(INT(K279/60),"00")&amp;":"&amp;TEXT(MOD(K279,60),"00")</x:f>
        <x:v>07:30</x:v>
      </x:c>
      <x:c r="H279" t="str">
        <x:f>TEXT(INT(L279/60),"00")&amp;":"&amp;TEXT(MOD(L279,60),"00")</x:f>
        <x:v>07:20</x:v>
      </x:c>
      <x:c r="I279" t="str">
        <x:f>IF(N279&gt;0,"+"&amp;TEXT(INT(N279/60),"00")&amp;":"&amp;TEXT(MOD(N279,60),"00"),"00:00")</x:f>
        <x:v>+00:10</x:v>
      </x:c>
      <x:c r="J279" t="str">
        <x:f>IF(O279&gt;0,"-"&amp;TEXT(INT(O279/60),"00")&amp;":"&amp;TEXT(MOD(O279,60),"00"),"00:00")</x:f>
        <x:v>00:00</x:v>
      </x:c>
      <x:c r="K279" t="n">
        <x:f>ROUND((F279-C279-IF(OR(D279="",E279=""),0,E279-D279))*1440,0)</x:f>
        <x:v>450</x:v>
      </x:c>
      <x:c r="L279" t="n">
        <x:v>440</x:v>
      </x:c>
      <x:c r="M279" t="n">
        <x:f>K279-L279</x:f>
        <x:v>10</x:v>
      </x:c>
      <x:c r="N279" t="n">
        <x:f>MAX(0,M279)</x:f>
        <x:v>10</x:v>
      </x:c>
      <x:c r="O279" t="n">
        <x:f>MAX(0,-M279)</x:f>
        <x:v>0</x:v>
      </x:c>
      <x:c r="P279" t="str">
        <x:v>Ponto registrado — complemento ilustrativo</x:v>
      </x:c>
      <x:c r="Q279" t="str">
        <x:v>Saída da CONFERÊNCIA DE CAIXA; entrada/intervalo simulados</x:v>
      </x:c>
      <x:c r="R279" t="str">
        <x:v>2026-01</x:v>
      </x:c>
    </x:row>
    <x:row r="280" ht="21" customHeight="1">
      <x:c r="A280" s="83" t="n">
        <x:v>46039</x:v>
      </x:c>
      <x:c r="B280" t="str">
        <x:v>sábado</x:v>
      </x:c>
      <x:c r="C280" s="85" t="n">
        <x:v>0.5465277777777777</x:v>
      </x:c>
      <x:c r="D280" s="85"/>
      <x:c r="E280" s="85"/>
      <x:c r="F280" s="85" t="n">
        <x:v>0.7020833333333333</x:v>
      </x:c>
      <x:c r="G280" t="str">
        <x:f>TEXT(INT(K280/60),"00")&amp;":"&amp;TEXT(MOD(K280,60),"00")</x:f>
        <x:v>03:44</x:v>
      </x:c>
      <x:c r="H280" t="str">
        <x:f>TEXT(INT(L280/60),"00")&amp;":"&amp;TEXT(MOD(L280,60),"00")</x:f>
        <x:v>04:00</x:v>
      </x:c>
      <x:c r="I280" t="str">
        <x:f>IF(N280&gt;0,"+"&amp;TEXT(INT(N280/60),"00")&amp;":"&amp;TEXT(MOD(N280,60),"00"),"00:00")</x:f>
        <x:v>00:00</x:v>
      </x:c>
      <x:c r="J280" t="str">
        <x:f>IF(O280&gt;0,"-"&amp;TEXT(INT(O280/60),"00")&amp;":"&amp;TEXT(MOD(O280,60),"00"),"00:00")</x:f>
        <x:v>-00:16</x:v>
      </x:c>
      <x:c r="K280" t="n">
        <x:f>ROUND((F280-C280-IF(OR(D280="",E280=""),0,E280-D280))*1440,0)</x:f>
        <x:v>224</x:v>
      </x:c>
      <x:c r="L280" t="n">
        <x:v>240</x:v>
      </x:c>
      <x:c r="M280" t="n">
        <x:f>K280-L280</x:f>
        <x:v>-16</x:v>
      </x:c>
      <x:c r="N280" t="n">
        <x:f>MAX(0,M280)</x:f>
        <x:v>0</x:v>
      </x:c>
      <x:c r="O280" t="n">
        <x:f>MAX(0,-M280)</x:f>
        <x:v>16</x:v>
      </x:c>
      <x:c r="P280" t="str">
        <x:v>Ponto registrado — complemento ilustrativo</x:v>
      </x:c>
      <x:c r="Q280" t="str">
        <x:v>Saída da CONFERÊNCIA DE CAIXA; entrada/intervalo simulados</x:v>
      </x:c>
      <x:c r="R280" t="str">
        <x:v>2026-01</x:v>
      </x:c>
    </x:row>
    <x:row r="281" ht="21" customHeight="1">
      <x:c r="A281" s="83" t="n">
        <x:v>46041</x:v>
      </x:c>
      <x:c r="B281" t="str">
        <x:v>segunda-feira</x:v>
      </x:c>
      <x:c r="C281" s="85" t="n">
        <x:v>0.5458333333333333</x:v>
      </x:c>
      <x:c r="D281" s="85" t="n">
        <x:v>0.6673611111111111</x:v>
      </x:c>
      <x:c r="E281" s="85" t="n">
        <x:v>0.7097222222222223</x:v>
      </x:c>
      <x:c r="F281" s="85" t="n">
        <x:v>0.8888888888888888</x:v>
      </x:c>
      <x:c r="G281" t="str">
        <x:f>TEXT(INT(K281/60),"00")&amp;":"&amp;TEXT(MOD(K281,60),"00")</x:f>
        <x:v>07:13</x:v>
      </x:c>
      <x:c r="H281" t="str">
        <x:f>TEXT(INT(L281/60),"00")&amp;":"&amp;TEXT(MOD(L281,60),"00")</x:f>
        <x:v>07:20</x:v>
      </x:c>
      <x:c r="I281" t="str">
        <x:f>IF(N281&gt;0,"+"&amp;TEXT(INT(N281/60),"00")&amp;":"&amp;TEXT(MOD(N281,60),"00"),"00:00")</x:f>
        <x:v>00:00</x:v>
      </x:c>
      <x:c r="J281" t="str">
        <x:f>IF(O281&gt;0,"-"&amp;TEXT(INT(O281/60),"00")&amp;":"&amp;TEXT(MOD(O281,60),"00"),"00:00")</x:f>
        <x:v>-00:07</x:v>
      </x:c>
      <x:c r="K281" t="n">
        <x:f>ROUND((F281-C281-IF(OR(D281="",E281=""),0,E281-D281))*1440,0)</x:f>
        <x:v>433</x:v>
      </x:c>
      <x:c r="L281" t="n">
        <x:v>440</x:v>
      </x:c>
      <x:c r="M281" t="n">
        <x:f>K281-L281</x:f>
        <x:v>-7</x:v>
      </x:c>
      <x:c r="N281" t="n">
        <x:f>MAX(0,M281)</x:f>
        <x:v>0</x:v>
      </x:c>
      <x:c r="O281" t="n">
        <x:f>MAX(0,-M281)</x:f>
        <x:v>7</x:v>
      </x:c>
      <x:c r="P281" t="str">
        <x:v>Ponto registrado — complemento ilustrativo</x:v>
      </x:c>
      <x:c r="Q281" t="str">
        <x:v>Saída da CONFERÊNCIA DE CAIXA; entrada/intervalo simulados</x:v>
      </x:c>
      <x:c r="R281" t="str">
        <x:v>2026-01</x:v>
      </x:c>
    </x:row>
    <x:row r="282" ht="21" customHeight="1">
      <x:c r="A282" s="83" t="n">
        <x:v>46042</x:v>
      </x:c>
      <x:c r="B282" t="str">
        <x:v>terça-feira</x:v>
      </x:c>
      <x:c r="C282" s="85" t="n">
        <x:v>0.5444444444444444</x:v>
      </x:c>
      <x:c r="D282" s="85" t="n">
        <x:v>0.6979166666666666</x:v>
      </x:c>
      <x:c r="E282" s="85" t="n">
        <x:v>0.7430555555555556</x:v>
      </x:c>
      <x:c r="F282" s="85" t="n">
        <x:v>0.8888888888888888</x:v>
      </x:c>
      <x:c r="G282" t="str">
        <x:f>TEXT(INT(K282/60),"00")&amp;":"&amp;TEXT(MOD(K282,60),"00")</x:f>
        <x:v>07:11</x:v>
      </x:c>
      <x:c r="H282" t="str">
        <x:f>TEXT(INT(L282/60),"00")&amp;":"&amp;TEXT(MOD(L282,60),"00")</x:f>
        <x:v>07:20</x:v>
      </x:c>
      <x:c r="I282" t="str">
        <x:f>IF(N282&gt;0,"+"&amp;TEXT(INT(N282/60),"00")&amp;":"&amp;TEXT(MOD(N282,60),"00"),"00:00")</x:f>
        <x:v>00:00</x:v>
      </x:c>
      <x:c r="J282" t="str">
        <x:f>IF(O282&gt;0,"-"&amp;TEXT(INT(O282/60),"00")&amp;":"&amp;TEXT(MOD(O282,60),"00"),"00:00")</x:f>
        <x:v>-00:09</x:v>
      </x:c>
      <x:c r="K282" t="n">
        <x:f>ROUND((F282-C282-IF(OR(D282="",E282=""),0,E282-D282))*1440,0)</x:f>
        <x:v>431</x:v>
      </x:c>
      <x:c r="L282" t="n">
        <x:v>440</x:v>
      </x:c>
      <x:c r="M282" t="n">
        <x:f>K282-L282</x:f>
        <x:v>-9</x:v>
      </x:c>
      <x:c r="N282" t="n">
        <x:f>MAX(0,M282)</x:f>
        <x:v>0</x:v>
      </x:c>
      <x:c r="O282" t="n">
        <x:f>MAX(0,-M282)</x:f>
        <x:v>9</x:v>
      </x:c>
      <x:c r="P282" t="str">
        <x:v>Ponto registrado — jornada revisada</x:v>
      </x:c>
      <x:c r="Q282" t="str">
        <x:v>Horários da planilha de jornadas revisada</x:v>
      </x:c>
      <x:c r="R282" t="str">
        <x:v>2026-01</x:v>
      </x:c>
    </x:row>
    <x:row r="283" ht="21" customHeight="1">
      <x:c r="A283" s="83" t="n">
        <x:v>46043</x:v>
      </x:c>
      <x:c r="B283" t="str">
        <x:v>quarta-feira</x:v>
      </x:c>
      <x:c r="C283" s="85" t="n">
        <x:v>0.5375</x:v>
      </x:c>
      <x:c r="D283" s="85" t="n">
        <x:v>0.6715277777777777</x:v>
      </x:c>
      <x:c r="E283" s="85" t="n">
        <x:v>0.7159722222222222</x:v>
      </x:c>
      <x:c r="F283" s="85" t="n">
        <x:v>0.8895833333333333</x:v>
      </x:c>
      <x:c r="G283" t="str">
        <x:f>TEXT(INT(K283/60),"00")&amp;":"&amp;TEXT(MOD(K283,60),"00")</x:f>
        <x:v>07:23</x:v>
      </x:c>
      <x:c r="H283" t="str">
        <x:f>TEXT(INT(L283/60),"00")&amp;":"&amp;TEXT(MOD(L283,60),"00")</x:f>
        <x:v>07:20</x:v>
      </x:c>
      <x:c r="I283" t="str">
        <x:f>IF(N283&gt;0,"+"&amp;TEXT(INT(N283/60),"00")&amp;":"&amp;TEXT(MOD(N283,60),"00"),"00:00")</x:f>
        <x:v>+00:03</x:v>
      </x:c>
      <x:c r="J283" t="str">
        <x:f>IF(O283&gt;0,"-"&amp;TEXT(INT(O283/60),"00")&amp;":"&amp;TEXT(MOD(O283,60),"00"),"00:00")</x:f>
        <x:v>00:00</x:v>
      </x:c>
      <x:c r="K283" t="n">
        <x:f>ROUND((F283-C283-IF(OR(D283="",E283=""),0,E283-D283))*1440,0)</x:f>
        <x:v>443</x:v>
      </x:c>
      <x:c r="L283" t="n">
        <x:v>440</x:v>
      </x:c>
      <x:c r="M283" t="n">
        <x:f>K283-L283</x:f>
        <x:v>3</x:v>
      </x:c>
      <x:c r="N283" t="n">
        <x:f>MAX(0,M283)</x:f>
        <x:v>3</x:v>
      </x:c>
      <x:c r="O283" t="n">
        <x:f>MAX(0,-M283)</x:f>
        <x:v>0</x:v>
      </x:c>
      <x:c r="P283" t="str">
        <x:v>Ponto registrado — complemento ilustrativo</x:v>
      </x:c>
      <x:c r="Q283" t="str">
        <x:v>Saída da CONFERÊNCIA DE CAIXA; entrada/intervalo simulados</x:v>
      </x:c>
      <x:c r="R283" t="str">
        <x:v>2026-01</x:v>
      </x:c>
    </x:row>
    <x:row r="284" ht="21" customHeight="1">
      <x:c r="A284" s="83" t="n">
        <x:v>46044</x:v>
      </x:c>
      <x:c r="B284" t="str">
        <x:v>quinta-feira</x:v>
      </x:c>
      <x:c r="C284" s="85" t="n">
        <x:v>0.5395833333333333</x:v>
      </x:c>
      <x:c r="D284" s="85" t="n">
        <x:v>0.6694444444444444</x:v>
      </x:c>
      <x:c r="E284" s="85" t="n">
        <x:v>0.7118055555555556</x:v>
      </x:c>
      <x:c r="F284" s="85" t="n">
        <x:v>0.8916666666666667</x:v>
      </x:c>
      <x:c r="G284" t="str">
        <x:f>TEXT(INT(K284/60),"00")&amp;":"&amp;TEXT(MOD(K284,60),"00")</x:f>
        <x:v>07:26</x:v>
      </x:c>
      <x:c r="H284" t="str">
        <x:f>TEXT(INT(L284/60),"00")&amp;":"&amp;TEXT(MOD(L284,60),"00")</x:f>
        <x:v>07:20</x:v>
      </x:c>
      <x:c r="I284" t="str">
        <x:f>IF(N284&gt;0,"+"&amp;TEXT(INT(N284/60),"00")&amp;":"&amp;TEXT(MOD(N284,60),"00"),"00:00")</x:f>
        <x:v>+00:06</x:v>
      </x:c>
      <x:c r="J284" t="str">
        <x:f>IF(O284&gt;0,"-"&amp;TEXT(INT(O284/60),"00")&amp;":"&amp;TEXT(MOD(O284,60),"00"),"00:00")</x:f>
        <x:v>00:00</x:v>
      </x:c>
      <x:c r="K284" t="n">
        <x:f>ROUND((F284-C284-IF(OR(D284="",E284=""),0,E284-D284))*1440,0)</x:f>
        <x:v>446</x:v>
      </x:c>
      <x:c r="L284" t="n">
        <x:v>440</x:v>
      </x:c>
      <x:c r="M284" t="n">
        <x:f>K284-L284</x:f>
        <x:v>6</x:v>
      </x:c>
      <x:c r="N284" t="n">
        <x:f>MAX(0,M284)</x:f>
        <x:v>6</x:v>
      </x:c>
      <x:c r="O284" t="n">
        <x:f>MAX(0,-M284)</x:f>
        <x:v>0</x:v>
      </x:c>
      <x:c r="P284" t="str">
        <x:v>Ponto registrado — complemento ilustrativo</x:v>
      </x:c>
      <x:c r="Q284" t="str">
        <x:v>Saída da CONFERÊNCIA DE CAIXA; entrada/intervalo simulados</x:v>
      </x:c>
      <x:c r="R284" t="str">
        <x:v>2026-01</x:v>
      </x:c>
    </x:row>
    <x:row r="285" ht="21" customHeight="1">
      <x:c r="A285" s="83" t="n">
        <x:v>46045</x:v>
      </x:c>
      <x:c r="B285" t="str">
        <x:v>sexta-feira</x:v>
      </x:c>
      <x:c r="C285" s="85" t="n">
        <x:v>0.54375</x:v>
      </x:c>
      <x:c r="D285" s="85" t="n">
        <x:v>0.6708333333333333</x:v>
      </x:c>
      <x:c r="E285" s="85" t="n">
        <x:v>0.7111111111111111</x:v>
      </x:c>
      <x:c r="F285" s="85" t="n">
        <x:v>0.8895833333333333</x:v>
      </x:c>
      <x:c r="G285" t="str">
        <x:f>TEXT(INT(K285/60),"00")&amp;":"&amp;TEXT(MOD(K285,60),"00")</x:f>
        <x:v>07:20</x:v>
      </x:c>
      <x:c r="H285" t="str">
        <x:f>TEXT(INT(L285/60),"00")&amp;":"&amp;TEXT(MOD(L285,60),"00")</x:f>
        <x:v>07:20</x:v>
      </x:c>
      <x:c r="I285" t="str">
        <x:f>IF(N285&gt;0,"+"&amp;TEXT(INT(N285/60),"00")&amp;":"&amp;TEXT(MOD(N285,60),"00"),"00:00")</x:f>
        <x:v>00:00</x:v>
      </x:c>
      <x:c r="J285" t="str">
        <x:f>IF(O285&gt;0,"-"&amp;TEXT(INT(O285/60),"00")&amp;":"&amp;TEXT(MOD(O285,60),"00"),"00:00")</x:f>
        <x:v>00:00</x:v>
      </x:c>
      <x:c r="K285" t="n">
        <x:f>ROUND((F285-C285-IF(OR(D285="",E285=""),0,E285-D285))*1440,0)</x:f>
        <x:v>440</x:v>
      </x:c>
      <x:c r="L285" t="n">
        <x:v>440</x:v>
      </x:c>
      <x:c r="M285" t="n">
        <x:f>K285-L285</x:f>
        <x:v>0</x:v>
      </x:c>
      <x:c r="N285" t="n">
        <x:f>MAX(0,M285)</x:f>
        <x:v>0</x:v>
      </x:c>
      <x:c r="O285" t="n">
        <x:f>MAX(0,-M285)</x:f>
        <x:v>0</x:v>
      </x:c>
      <x:c r="P285" t="str">
        <x:v>Ponto registrado — complemento ilustrativo</x:v>
      </x:c>
      <x:c r="Q285" t="str">
        <x:v>Saída da CONFERÊNCIA DE CAIXA; entrada/intervalo simulados</x:v>
      </x:c>
      <x:c r="R285" t="str">
        <x:v>2026-01</x:v>
      </x:c>
    </x:row>
    <x:row r="286" ht="21" customHeight="1">
      <x:c r="A286" s="83" t="n">
        <x:v>46046</x:v>
      </x:c>
      <x:c r="B286" t="str">
        <x:v>sábado</x:v>
      </x:c>
      <x:c r="C286" s="85" t="n">
        <x:v>0.5472222222222223</x:v>
      </x:c>
      <x:c r="D286" s="85"/>
      <x:c r="E286" s="85"/>
      <x:c r="F286" s="85" t="n">
        <x:v>0.7048611111111112</x:v>
      </x:c>
      <x:c r="G286" t="str">
        <x:f>TEXT(INT(K286/60),"00")&amp;":"&amp;TEXT(MOD(K286,60),"00")</x:f>
        <x:v>03:47</x:v>
      </x:c>
      <x:c r="H286" t="str">
        <x:f>TEXT(INT(L286/60),"00")&amp;":"&amp;TEXT(MOD(L286,60),"00")</x:f>
        <x:v>04:00</x:v>
      </x:c>
      <x:c r="I286" t="str">
        <x:f>IF(N286&gt;0,"+"&amp;TEXT(INT(N286/60),"00")&amp;":"&amp;TEXT(MOD(N286,60),"00"),"00:00")</x:f>
        <x:v>00:00</x:v>
      </x:c>
      <x:c r="J286" t="str">
        <x:f>IF(O286&gt;0,"-"&amp;TEXT(INT(O286/60),"00")&amp;":"&amp;TEXT(MOD(O286,60),"00"),"00:00")</x:f>
        <x:v>-00:13</x:v>
      </x:c>
      <x:c r="K286" t="n">
        <x:f>ROUND((F286-C286-IF(OR(D286="",E286=""),0,E286-D286))*1440,0)</x:f>
        <x:v>227</x:v>
      </x:c>
      <x:c r="L286" t="n">
        <x:v>240</x:v>
      </x:c>
      <x:c r="M286" t="n">
        <x:f>K286-L286</x:f>
        <x:v>-13</x:v>
      </x:c>
      <x:c r="N286" t="n">
        <x:f>MAX(0,M286)</x:f>
        <x:v>0</x:v>
      </x:c>
      <x:c r="O286" t="n">
        <x:f>MAX(0,-M286)</x:f>
        <x:v>13</x:v>
      </x:c>
      <x:c r="P286" t="str">
        <x:v>Ponto registrado — complemento ilustrativo</x:v>
      </x:c>
      <x:c r="Q286" t="str">
        <x:v>Saída da CONFERÊNCIA DE CAIXA; entrada/intervalo simulados</x:v>
      </x:c>
      <x:c r="R286" t="str">
        <x:v>2026-01</x:v>
      </x:c>
    </x:row>
    <x:row r="287" ht="21" customHeight="1">
      <x:c r="A287" s="83" t="n">
        <x:v>46048</x:v>
      </x:c>
      <x:c r="B287" t="str">
        <x:v>segunda-feira</x:v>
      </x:c>
      <x:c r="C287" s="85" t="n">
        <x:v>0.54375</x:v>
      </x:c>
      <x:c r="D287" s="85" t="n">
        <x:v>0.6791666666666667</x:v>
      </x:c>
      <x:c r="E287" s="85" t="n">
        <x:v>0.7208333333333333</x:v>
      </x:c>
      <x:c r="F287" s="85" t="n">
        <x:v>0.8881944444444444</x:v>
      </x:c>
      <x:c r="G287" t="str">
        <x:f>TEXT(INT(K287/60),"00")&amp;":"&amp;TEXT(MOD(K287,60),"00")</x:f>
        <x:v>07:16</x:v>
      </x:c>
      <x:c r="H287" t="str">
        <x:f>TEXT(INT(L287/60),"00")&amp;":"&amp;TEXT(MOD(L287,60),"00")</x:f>
        <x:v>07:20</x:v>
      </x:c>
      <x:c r="I287" t="str">
        <x:f>IF(N287&gt;0,"+"&amp;TEXT(INT(N287/60),"00")&amp;":"&amp;TEXT(MOD(N287,60),"00"),"00:00")</x:f>
        <x:v>00:00</x:v>
      </x:c>
      <x:c r="J287" t="str">
        <x:f>IF(O287&gt;0,"-"&amp;TEXT(INT(O287/60),"00")&amp;":"&amp;TEXT(MOD(O287,60),"00"),"00:00")</x:f>
        <x:v>-00:04</x:v>
      </x:c>
      <x:c r="K287" t="n">
        <x:f>ROUND((F287-C287-IF(OR(D287="",E287=""),0,E287-D287))*1440,0)</x:f>
        <x:v>436</x:v>
      </x:c>
      <x:c r="L287" t="n">
        <x:v>440</x:v>
      </x:c>
      <x:c r="M287" t="n">
        <x:f>K287-L287</x:f>
        <x:v>-4</x:v>
      </x:c>
      <x:c r="N287" t="n">
        <x:f>MAX(0,M287)</x:f>
        <x:v>0</x:v>
      </x:c>
      <x:c r="O287" t="n">
        <x:f>MAX(0,-M287)</x:f>
        <x:v>4</x:v>
      </x:c>
      <x:c r="P287" t="str">
        <x:v>Ponto registrado — complemento ilustrativo</x:v>
      </x:c>
      <x:c r="Q287" t="str">
        <x:v>Saída da CONFERÊNCIA DE CAIXA; entrada/intervalo simulados</x:v>
      </x:c>
      <x:c r="R287" t="str">
        <x:v>2026-01</x:v>
      </x:c>
    </x:row>
    <x:row r="288" ht="21" customHeight="1">
      <x:c r="A288" s="83" t="n">
        <x:v>46049</x:v>
      </x:c>
      <x:c r="B288" t="str">
        <x:v>terça-feira</x:v>
      </x:c>
      <x:c r="C288" s="85" t="n">
        <x:v>0.5381944444444444</x:v>
      </x:c>
      <x:c r="D288" s="85" t="n">
        <x:v>0.6770833333333334</x:v>
      </x:c>
      <x:c r="E288" s="85" t="n">
        <x:v>0.7180555555555556</x:v>
      </x:c>
      <x:c r="F288" s="85" t="n">
        <x:v>0.8909722222222223</x:v>
      </x:c>
      <x:c r="G288" t="str">
        <x:f>TEXT(INT(K288/60),"00")&amp;":"&amp;TEXT(MOD(K288,60),"00")</x:f>
        <x:v>07:29</x:v>
      </x:c>
      <x:c r="H288" t="str">
        <x:f>TEXT(INT(L288/60),"00")&amp;":"&amp;TEXT(MOD(L288,60),"00")</x:f>
        <x:v>07:20</x:v>
      </x:c>
      <x:c r="I288" t="str">
        <x:f>IF(N288&gt;0,"+"&amp;TEXT(INT(N288/60),"00")&amp;":"&amp;TEXT(MOD(N288,60),"00"),"00:00")</x:f>
        <x:v>+00:09</x:v>
      </x:c>
      <x:c r="J288" t="str">
        <x:f>IF(O288&gt;0,"-"&amp;TEXT(INT(O288/60),"00")&amp;":"&amp;TEXT(MOD(O288,60),"00"),"00:00")</x:f>
        <x:v>00:00</x:v>
      </x:c>
      <x:c r="K288" t="n">
        <x:f>ROUND((F288-C288-IF(OR(D288="",E288=""),0,E288-D288))*1440,0)</x:f>
        <x:v>449</x:v>
      </x:c>
      <x:c r="L288" t="n">
        <x:v>440</x:v>
      </x:c>
      <x:c r="M288" t="n">
        <x:f>K288-L288</x:f>
        <x:v>9</x:v>
      </x:c>
      <x:c r="N288" t="n">
        <x:f>MAX(0,M288)</x:f>
        <x:v>9</x:v>
      </x:c>
      <x:c r="O288" t="n">
        <x:f>MAX(0,-M288)</x:f>
        <x:v>0</x:v>
      </x:c>
      <x:c r="P288" t="str">
        <x:v>Ponto registrado — complemento ilustrativo</x:v>
      </x:c>
      <x:c r="Q288" t="str">
        <x:v>Saída da CONFERÊNCIA DE CAIXA; entrada/intervalo simulados</x:v>
      </x:c>
      <x:c r="R288" t="str">
        <x:v>2026-01</x:v>
      </x:c>
    </x:row>
    <x:row r="289" ht="21" customHeight="1">
      <x:c r="A289" s="83" t="n">
        <x:v>46050</x:v>
      </x:c>
      <x:c r="B289" t="str">
        <x:v>quarta-feira</x:v>
      </x:c>
      <x:c r="C289" s="85" t="n">
        <x:v>0.5444444444444444</x:v>
      </x:c>
      <x:c r="D289" s="85" t="n">
        <x:v>0.68125</x:v>
      </x:c>
      <x:c r="E289" s="85" t="n">
        <x:v>0.7201388888888889</x:v>
      </x:c>
      <x:c r="F289" s="85" t="n">
        <x:v>0.8895833333333333</x:v>
      </x:c>
      <x:c r="G289" t="str">
        <x:f>TEXT(INT(K289/60),"00")&amp;":"&amp;TEXT(MOD(K289,60),"00")</x:f>
        <x:v>07:21</x:v>
      </x:c>
      <x:c r="H289" t="str">
        <x:f>TEXT(INT(L289/60),"00")&amp;":"&amp;TEXT(MOD(L289,60),"00")</x:f>
        <x:v>07:20</x:v>
      </x:c>
      <x:c r="I289" t="str">
        <x:f>IF(N289&gt;0,"+"&amp;TEXT(INT(N289/60),"00")&amp;":"&amp;TEXT(MOD(N289,60),"00"),"00:00")</x:f>
        <x:v>+00:01</x:v>
      </x:c>
      <x:c r="J289" t="str">
        <x:f>IF(O289&gt;0,"-"&amp;TEXT(INT(O289/60),"00")&amp;":"&amp;TEXT(MOD(O289,60),"00"),"00:00")</x:f>
        <x:v>00:00</x:v>
      </x:c>
      <x:c r="K289" t="n">
        <x:f>ROUND((F289-C289-IF(OR(D289="",E289=""),0,E289-D289))*1440,0)</x:f>
        <x:v>441</x:v>
      </x:c>
      <x:c r="L289" t="n">
        <x:v>440</x:v>
      </x:c>
      <x:c r="M289" t="n">
        <x:f>K289-L289</x:f>
        <x:v>1</x:v>
      </x:c>
      <x:c r="N289" t="n">
        <x:f>MAX(0,M289)</x:f>
        <x:v>1</x:v>
      </x:c>
      <x:c r="O289" t="n">
        <x:f>MAX(0,-M289)</x:f>
        <x:v>0</x:v>
      </x:c>
      <x:c r="P289" t="str">
        <x:v>Ponto registrado — complemento ilustrativo</x:v>
      </x:c>
      <x:c r="Q289" t="str">
        <x:v>Saída da CONFERÊNCIA DE CAIXA; entrada/intervalo simulados</x:v>
      </x:c>
      <x:c r="R289" t="str">
        <x:v>2026-01</x:v>
      </x:c>
    </x:row>
    <x:row r="290" ht="21" customHeight="1">
      <x:c r="A290" s="83" t="n">
        <x:v>46051</x:v>
      </x:c>
      <x:c r="B290" t="str">
        <x:v>quinta-feira</x:v>
      </x:c>
      <x:c r="C290" s="85" t="n">
        <x:v>0.5416666666666666</x:v>
      </x:c>
      <x:c r="D290" s="85" t="n">
        <x:v>0.6680555555555555</x:v>
      </x:c>
      <x:c r="E290" s="85" t="n">
        <x:v>0.7090277777777778</x:v>
      </x:c>
      <x:c r="F290" s="85" t="n">
        <x:v>0.8902777777777777</x:v>
      </x:c>
      <x:c r="G290" t="str">
        <x:f>TEXT(INT(K290/60),"00")&amp;":"&amp;TEXT(MOD(K290,60),"00")</x:f>
        <x:v>07:23</x:v>
      </x:c>
      <x:c r="H290" t="str">
        <x:f>TEXT(INT(L290/60),"00")&amp;":"&amp;TEXT(MOD(L290,60),"00")</x:f>
        <x:v>07:20</x:v>
      </x:c>
      <x:c r="I290" t="str">
        <x:f>IF(N290&gt;0,"+"&amp;TEXT(INT(N290/60),"00")&amp;":"&amp;TEXT(MOD(N290,60),"00"),"00:00")</x:f>
        <x:v>+00:03</x:v>
      </x:c>
      <x:c r="J290" t="str">
        <x:f>IF(O290&gt;0,"-"&amp;TEXT(INT(O290/60),"00")&amp;":"&amp;TEXT(MOD(O290,60),"00"),"00:00")</x:f>
        <x:v>00:00</x:v>
      </x:c>
      <x:c r="K290" t="n">
        <x:f>ROUND((F290-C290-IF(OR(D290="",E290=""),0,E290-D290))*1440,0)</x:f>
        <x:v>443</x:v>
      </x:c>
      <x:c r="L290" t="n">
        <x:v>440</x:v>
      </x:c>
      <x:c r="M290" t="n">
        <x:f>K290-L290</x:f>
        <x:v>3</x:v>
      </x:c>
      <x:c r="N290" t="n">
        <x:f>MAX(0,M290)</x:f>
        <x:v>3</x:v>
      </x:c>
      <x:c r="O290" t="n">
        <x:f>MAX(0,-M290)</x:f>
        <x:v>0</x:v>
      </x:c>
      <x:c r="P290" t="str">
        <x:v>Ponto registrado — complemento ilustrativo</x:v>
      </x:c>
      <x:c r="Q290" t="str">
        <x:v>Saída da CONFERÊNCIA DE CAIXA; entrada/intervalo simulados</x:v>
      </x:c>
      <x:c r="R290" t="str">
        <x:v>2026-01</x:v>
      </x:c>
    </x:row>
    <x:row r="291" ht="21" customHeight="1">
      <x:c r="A291" s="83" t="n">
        <x:v>46052</x:v>
      </x:c>
      <x:c r="B291" t="str">
        <x:v>sexta-feira</x:v>
      </x:c>
      <x:c r="C291" s="85" t="n">
        <x:v>0.5451388888888888</x:v>
      </x:c>
      <x:c r="D291" s="85" t="n">
        <x:v>0.6694444444444444</x:v>
      </x:c>
      <x:c r="E291" s="85" t="n">
        <x:v>0.7131944444444445</x:v>
      </x:c>
      <x:c r="F291" s="85" t="n">
        <x:v>0.8875</x:v>
      </x:c>
      <x:c r="G291" t="str">
        <x:f>TEXT(INT(K291/60),"00")&amp;":"&amp;TEXT(MOD(K291,60),"00")</x:f>
        <x:v>07:10</x:v>
      </x:c>
      <x:c r="H291" t="str">
        <x:f>TEXT(INT(L291/60),"00")&amp;":"&amp;TEXT(MOD(L291,60),"00")</x:f>
        <x:v>07:20</x:v>
      </x:c>
      <x:c r="I291" t="str">
        <x:f>IF(N291&gt;0,"+"&amp;TEXT(INT(N291/60),"00")&amp;":"&amp;TEXT(MOD(N291,60),"00"),"00:00")</x:f>
        <x:v>00:00</x:v>
      </x:c>
      <x:c r="J291" t="str">
        <x:f>IF(O291&gt;0,"-"&amp;TEXT(INT(O291/60),"00")&amp;":"&amp;TEXT(MOD(O291,60),"00"),"00:00")</x:f>
        <x:v>-00:10</x:v>
      </x:c>
      <x:c r="K291" t="n">
        <x:f>ROUND((F291-C291-IF(OR(D291="",E291=""),0,E291-D291))*1440,0)</x:f>
        <x:v>430</x:v>
      </x:c>
      <x:c r="L291" t="n">
        <x:v>440</x:v>
      </x:c>
      <x:c r="M291" t="n">
        <x:f>K291-L291</x:f>
        <x:v>-10</x:v>
      </x:c>
      <x:c r="N291" t="n">
        <x:f>MAX(0,M291)</x:f>
        <x:v>0</x:v>
      </x:c>
      <x:c r="O291" t="n">
        <x:f>MAX(0,-M291)</x:f>
        <x:v>10</x:v>
      </x:c>
      <x:c r="P291" t="str">
        <x:v>Ponto registrado — complemento ilustrativo</x:v>
      </x:c>
      <x:c r="Q291" t="str">
        <x:v>Saída da CONFERÊNCIA DE CAIXA; entrada/intervalo simulados</x:v>
      </x:c>
      <x:c r="R291" t="str">
        <x:v>2026-01</x:v>
      </x:c>
    </x:row>
    <x:row r="292" ht="21" customHeight="1">
      <x:c r="A292" s="83" t="n">
        <x:v>46053</x:v>
      </x:c>
      <x:c r="B292" t="str">
        <x:v>sábado</x:v>
      </x:c>
      <x:c r="C292" s="85" t="n">
        <x:v>0.54375</x:v>
      </x:c>
      <x:c r="D292" s="85"/>
      <x:c r="E292" s="85"/>
      <x:c r="F292" s="85" t="n">
        <x:v>0.7097222222222223</x:v>
      </x:c>
      <x:c r="G292" t="str">
        <x:f>TEXT(INT(K292/60),"00")&amp;":"&amp;TEXT(MOD(K292,60),"00")</x:f>
        <x:v>03:59</x:v>
      </x:c>
      <x:c r="H292" t="str">
        <x:f>TEXT(INT(L292/60),"00")&amp;":"&amp;TEXT(MOD(L292,60),"00")</x:f>
        <x:v>04:00</x:v>
      </x:c>
      <x:c r="I292" t="str">
        <x:f>IF(N292&gt;0,"+"&amp;TEXT(INT(N292/60),"00")&amp;":"&amp;TEXT(MOD(N292,60),"00"),"00:00")</x:f>
        <x:v>00:00</x:v>
      </x:c>
      <x:c r="J292" t="str">
        <x:f>IF(O292&gt;0,"-"&amp;TEXT(INT(O292/60),"00")&amp;":"&amp;TEXT(MOD(O292,60),"00"),"00:00")</x:f>
        <x:v>-00:01</x:v>
      </x:c>
      <x:c r="K292" t="n">
        <x:f>ROUND((F292-C292-IF(OR(D292="",E292=""),0,E292-D292))*1440,0)</x:f>
        <x:v>239</x:v>
      </x:c>
      <x:c r="L292" t="n">
        <x:v>240</x:v>
      </x:c>
      <x:c r="M292" t="n">
        <x:f>K292-L292</x:f>
        <x:v>-1</x:v>
      </x:c>
      <x:c r="N292" t="n">
        <x:f>MAX(0,M292)</x:f>
        <x:v>0</x:v>
      </x:c>
      <x:c r="O292" t="n">
        <x:f>MAX(0,-M292)</x:f>
        <x:v>1</x:v>
      </x:c>
      <x:c r="P292" t="str">
        <x:v>Ponto registrado — jornada revisada</x:v>
      </x:c>
      <x:c r="Q292" t="str">
        <x:v>Horários da planilha de jornadas revisada</x:v>
      </x:c>
      <x:c r="R292" t="str">
        <x:v>2026-01</x:v>
      </x:c>
    </x:row>
    <x:row r="293" ht="21" customHeight="1">
      <x:c r="A293" s="83" t="n">
        <x:v>46055</x:v>
      </x:c>
      <x:c r="B293" t="str">
        <x:v>segunda-feira</x:v>
      </x:c>
      <x:c r="C293" s="85" t="n">
        <x:v>0.5458333333333333</x:v>
      </x:c>
      <x:c r="D293" s="85" t="n">
        <x:v>0.6659722222222222</x:v>
      </x:c>
      <x:c r="E293" s="85" t="n">
        <x:v>0.7104166666666667</x:v>
      </x:c>
      <x:c r="F293" s="85" t="n">
        <x:v>0.8902777777777777</x:v>
      </x:c>
      <x:c r="G293" t="str">
        <x:f>TEXT(INT(K293/60),"00")&amp;":"&amp;TEXT(MOD(K293,60),"00")</x:f>
        <x:v>07:12</x:v>
      </x:c>
      <x:c r="H293" t="str">
        <x:f>TEXT(INT(L293/60),"00")&amp;":"&amp;TEXT(MOD(L293,60),"00")</x:f>
        <x:v>07:20</x:v>
      </x:c>
      <x:c r="I293" t="str">
        <x:f>IF(N293&gt;0,"+"&amp;TEXT(INT(N293/60),"00")&amp;":"&amp;TEXT(MOD(N293,60),"00"),"00:00")</x:f>
        <x:v>00:00</x:v>
      </x:c>
      <x:c r="J293" t="str">
        <x:f>IF(O293&gt;0,"-"&amp;TEXT(INT(O293/60),"00")&amp;":"&amp;TEXT(MOD(O293,60),"00"),"00:00")</x:f>
        <x:v>-00:08</x:v>
      </x:c>
      <x:c r="K293" t="n">
        <x:f>ROUND((F293-C293-IF(OR(D293="",E293=""),0,E293-D293))*1440,0)</x:f>
        <x:v>432</x:v>
      </x:c>
      <x:c r="L293" t="n">
        <x:v>440</x:v>
      </x:c>
      <x:c r="M293" t="n">
        <x:f>K293-L293</x:f>
        <x:v>-8</x:v>
      </x:c>
      <x:c r="N293" t="n">
        <x:f>MAX(0,M293)</x:f>
        <x:v>0</x:v>
      </x:c>
      <x:c r="O293" t="n">
        <x:f>MAX(0,-M293)</x:f>
        <x:v>8</x:v>
      </x:c>
      <x:c r="P293" t="str">
        <x:v>Ponto registrado — complemento ilustrativo</x:v>
      </x:c>
      <x:c r="Q293" t="str">
        <x:v>Saída da CONFERÊNCIA DE CAIXA; entrada/intervalo simulados</x:v>
      </x:c>
      <x:c r="R293" t="str">
        <x:v>2026-02</x:v>
      </x:c>
    </x:row>
    <x:row r="294" ht="21" customHeight="1">
      <x:c r="A294" s="83" t="n">
        <x:v>46056</x:v>
      </x:c>
      <x:c r="B294" t="str">
        <x:v>terça-feira</x:v>
      </x:c>
      <x:c r="C294" s="85" t="n">
        <x:v>0.5423611111111111</x:v>
      </x:c>
      <x:c r="D294" s="85" t="n">
        <x:v>0.6756944444444445</x:v>
      </x:c>
      <x:c r="E294" s="85" t="n">
        <x:v>0.7201388888888889</x:v>
      </x:c>
      <x:c r="F294" s="85" t="n">
        <x:v>0.8875</x:v>
      </x:c>
      <x:c r="G294" t="str">
        <x:f>TEXT(INT(K294/60),"00")&amp;":"&amp;TEXT(MOD(K294,60),"00")</x:f>
        <x:v>07:13</x:v>
      </x:c>
      <x:c r="H294" t="str">
        <x:f>TEXT(INT(L294/60),"00")&amp;":"&amp;TEXT(MOD(L294,60),"00")</x:f>
        <x:v>07:20</x:v>
      </x:c>
      <x:c r="I294" t="str">
        <x:f>IF(N294&gt;0,"+"&amp;TEXT(INT(N294/60),"00")&amp;":"&amp;TEXT(MOD(N294,60),"00"),"00:00")</x:f>
        <x:v>00:00</x:v>
      </x:c>
      <x:c r="J294" t="str">
        <x:f>IF(O294&gt;0,"-"&amp;TEXT(INT(O294/60),"00")&amp;":"&amp;TEXT(MOD(O294,60),"00"),"00:00")</x:f>
        <x:v>-00:07</x:v>
      </x:c>
      <x:c r="K294" t="n">
        <x:f>ROUND((F294-C294-IF(OR(D294="",E294=""),0,E294-D294))*1440,0)</x:f>
        <x:v>433</x:v>
      </x:c>
      <x:c r="L294" t="n">
        <x:v>440</x:v>
      </x:c>
      <x:c r="M294" t="n">
        <x:f>K294-L294</x:f>
        <x:v>-7</x:v>
      </x:c>
      <x:c r="N294" t="n">
        <x:f>MAX(0,M294)</x:f>
        <x:v>0</x:v>
      </x:c>
      <x:c r="O294" t="n">
        <x:f>MAX(0,-M294)</x:f>
        <x:v>7</x:v>
      </x:c>
      <x:c r="P294" t="str">
        <x:v>Ponto registrado — complemento ilustrativo</x:v>
      </x:c>
      <x:c r="Q294" t="str">
        <x:v>Saída da CONFERÊNCIA DE CAIXA; entrada/intervalo simulados</x:v>
      </x:c>
      <x:c r="R294" t="str">
        <x:v>2026-02</x:v>
      </x:c>
    </x:row>
    <x:row r="295" ht="21" customHeight="1">
      <x:c r="A295" s="83" t="n">
        <x:v>46057</x:v>
      </x:c>
      <x:c r="B295" t="str">
        <x:v>quarta-feira</x:v>
      </x:c>
      <x:c r="C295" s="85" t="n">
        <x:v>0.5402777777777777</x:v>
      </x:c>
      <x:c r="D295" s="85" t="n">
        <x:v>0.6680555555555555</x:v>
      </x:c>
      <x:c r="E295" s="85" t="n">
        <x:v>0.7111111111111111</x:v>
      </x:c>
      <x:c r="F295" s="85" t="n">
        <x:v>0.8902777777777777</x:v>
      </x:c>
      <x:c r="G295" t="str">
        <x:f>TEXT(INT(K295/60),"00")&amp;":"&amp;TEXT(MOD(K295,60),"00")</x:f>
        <x:v>07:22</x:v>
      </x:c>
      <x:c r="H295" t="str">
        <x:f>TEXT(INT(L295/60),"00")&amp;":"&amp;TEXT(MOD(L295,60),"00")</x:f>
        <x:v>07:20</x:v>
      </x:c>
      <x:c r="I295" t="str">
        <x:f>IF(N295&gt;0,"+"&amp;TEXT(INT(N295/60),"00")&amp;":"&amp;TEXT(MOD(N295,60),"00"),"00:00")</x:f>
        <x:v>+00:02</x:v>
      </x:c>
      <x:c r="J295" t="str">
        <x:f>IF(O295&gt;0,"-"&amp;TEXT(INT(O295/60),"00")&amp;":"&amp;TEXT(MOD(O295,60),"00"),"00:00")</x:f>
        <x:v>00:00</x:v>
      </x:c>
      <x:c r="K295" t="n">
        <x:f>ROUND((F295-C295-IF(OR(D295="",E295=""),0,E295-D295))*1440,0)</x:f>
        <x:v>442</x:v>
      </x:c>
      <x:c r="L295" t="n">
        <x:v>440</x:v>
      </x:c>
      <x:c r="M295" t="n">
        <x:f>K295-L295</x:f>
        <x:v>2</x:v>
      </x:c>
      <x:c r="N295" t="n">
        <x:f>MAX(0,M295)</x:f>
        <x:v>2</x:v>
      </x:c>
      <x:c r="O295" t="n">
        <x:f>MAX(0,-M295)</x:f>
        <x:v>0</x:v>
      </x:c>
      <x:c r="P295" t="str">
        <x:v>Ponto registrado — complemento ilustrativo</x:v>
      </x:c>
      <x:c r="Q295" t="str">
        <x:v>Saída da CONFERÊNCIA DE CAIXA; entrada/intervalo simulados</x:v>
      </x:c>
      <x:c r="R295" t="str">
        <x:v>2026-02</x:v>
      </x:c>
    </x:row>
    <x:row r="296" ht="21" customHeight="1">
      <x:c r="A296" s="83" t="n">
        <x:v>46058</x:v>
      </x:c>
      <x:c r="B296" t="str">
        <x:v>quinta-feira</x:v>
      </x:c>
      <x:c r="C296" s="85" t="n">
        <x:v>0.5444444444444444</x:v>
      </x:c>
      <x:c r="D296" s="85" t="n">
        <x:v>0.6701388888888888</x:v>
      </x:c>
      <x:c r="E296" s="85" t="n">
        <x:v>0.7104166666666667</x:v>
      </x:c>
      <x:c r="F296" s="85" t="n">
        <x:v>0.8875</x:v>
      </x:c>
      <x:c r="G296" t="str">
        <x:f>TEXT(INT(K296/60),"00")&amp;":"&amp;TEXT(MOD(K296,60),"00")</x:f>
        <x:v>07:16</x:v>
      </x:c>
      <x:c r="H296" t="str">
        <x:f>TEXT(INT(L296/60),"00")&amp;":"&amp;TEXT(MOD(L296,60),"00")</x:f>
        <x:v>07:20</x:v>
      </x:c>
      <x:c r="I296" t="str">
        <x:f>IF(N296&gt;0,"+"&amp;TEXT(INT(N296/60),"00")&amp;":"&amp;TEXT(MOD(N296,60),"00"),"00:00")</x:f>
        <x:v>00:00</x:v>
      </x:c>
      <x:c r="J296" t="str">
        <x:f>IF(O296&gt;0,"-"&amp;TEXT(INT(O296/60),"00")&amp;":"&amp;TEXT(MOD(O296,60),"00"),"00:00")</x:f>
        <x:v>-00:04</x:v>
      </x:c>
      <x:c r="K296" t="n">
        <x:f>ROUND((F296-C296-IF(OR(D296="",E296=""),0,E296-D296))*1440,0)</x:f>
        <x:v>436</x:v>
      </x:c>
      <x:c r="L296" t="n">
        <x:v>440</x:v>
      </x:c>
      <x:c r="M296" t="n">
        <x:f>K296-L296</x:f>
        <x:v>-4</x:v>
      </x:c>
      <x:c r="N296" t="n">
        <x:f>MAX(0,M296)</x:f>
        <x:v>0</x:v>
      </x:c>
      <x:c r="O296" t="n">
        <x:f>MAX(0,-M296)</x:f>
        <x:v>4</x:v>
      </x:c>
      <x:c r="P296" t="str">
        <x:v>Ponto registrado — complemento ilustrativo</x:v>
      </x:c>
      <x:c r="Q296" t="str">
        <x:v>Saída da CONFERÊNCIA DE CAIXA; entrada/intervalo simulados</x:v>
      </x:c>
      <x:c r="R296" t="str">
        <x:v>2026-02</x:v>
      </x:c>
    </x:row>
    <x:row r="297" ht="21" customHeight="1">
      <x:c r="A297" s="83" t="n">
        <x:v>46059</x:v>
      </x:c>
      <x:c r="B297" t="str">
        <x:v>sexta-feira</x:v>
      </x:c>
      <x:c r="C297" s="85" t="n">
        <x:v>0.54375</x:v>
      </x:c>
      <x:c r="D297" s="85" t="n">
        <x:v>0.6680555555555555</x:v>
      </x:c>
      <x:c r="E297" s="85" t="n">
        <x:v>0.7069444444444445</x:v>
      </x:c>
      <x:c r="F297" s="85" t="n">
        <x:v>0.8888888888888888</x:v>
      </x:c>
      <x:c r="G297" t="str">
        <x:f>TEXT(INT(K297/60),"00")&amp;":"&amp;TEXT(MOD(K297,60),"00")</x:f>
        <x:v>07:21</x:v>
      </x:c>
      <x:c r="H297" t="str">
        <x:f>TEXT(INT(L297/60),"00")&amp;":"&amp;TEXT(MOD(L297,60),"00")</x:f>
        <x:v>07:20</x:v>
      </x:c>
      <x:c r="I297" t="str">
        <x:f>IF(N297&gt;0,"+"&amp;TEXT(INT(N297/60),"00")&amp;":"&amp;TEXT(MOD(N297,60),"00"),"00:00")</x:f>
        <x:v>+00:01</x:v>
      </x:c>
      <x:c r="J297" t="str">
        <x:f>IF(O297&gt;0,"-"&amp;TEXT(INT(O297/60),"00")&amp;":"&amp;TEXT(MOD(O297,60),"00"),"00:00")</x:f>
        <x:v>00:00</x:v>
      </x:c>
      <x:c r="K297" t="n">
        <x:f>ROUND((F297-C297-IF(OR(D297="",E297=""),0,E297-D297))*1440,0)</x:f>
        <x:v>441</x:v>
      </x:c>
      <x:c r="L297" t="n">
        <x:v>440</x:v>
      </x:c>
      <x:c r="M297" t="n">
        <x:f>K297-L297</x:f>
        <x:v>1</x:v>
      </x:c>
      <x:c r="N297" t="n">
        <x:f>MAX(0,M297)</x:f>
        <x:v>1</x:v>
      </x:c>
      <x:c r="O297" t="n">
        <x:f>MAX(0,-M297)</x:f>
        <x:v>0</x:v>
      </x:c>
      <x:c r="P297" t="str">
        <x:v>Ponto registrado — complemento ilustrativo</x:v>
      </x:c>
      <x:c r="Q297" t="str">
        <x:v>Saída da CONFERÊNCIA DE CAIXA; entrada/intervalo simulados</x:v>
      </x:c>
      <x:c r="R297" t="str">
        <x:v>2026-02</x:v>
      </x:c>
    </x:row>
    <x:row r="298" ht="21" customHeight="1">
      <x:c r="A298" s="83" t="n">
        <x:v>46060</x:v>
      </x:c>
      <x:c r="B298" t="str">
        <x:v>sábado</x:v>
      </x:c>
      <x:c r="C298" s="85" t="n">
        <x:v>0.54375</x:v>
      </x:c>
      <x:c r="D298" s="85"/>
      <x:c r="E298" s="85"/>
      <x:c r="F298" s="85" t="n">
        <x:v>0.7034722222222223</x:v>
      </x:c>
      <x:c r="G298" t="str">
        <x:f>TEXT(INT(K298/60),"00")&amp;":"&amp;TEXT(MOD(K298,60),"00")</x:f>
        <x:v>03:50</x:v>
      </x:c>
      <x:c r="H298" t="str">
        <x:f>TEXT(INT(L298/60),"00")&amp;":"&amp;TEXT(MOD(L298,60),"00")</x:f>
        <x:v>04:00</x:v>
      </x:c>
      <x:c r="I298" t="str">
        <x:f>IF(N298&gt;0,"+"&amp;TEXT(INT(N298/60),"00")&amp;":"&amp;TEXT(MOD(N298,60),"00"),"00:00")</x:f>
        <x:v>00:00</x:v>
      </x:c>
      <x:c r="J298" t="str">
        <x:f>IF(O298&gt;0,"-"&amp;TEXT(INT(O298/60),"00")&amp;":"&amp;TEXT(MOD(O298,60),"00"),"00:00")</x:f>
        <x:v>-00:10</x:v>
      </x:c>
      <x:c r="K298" t="n">
        <x:f>ROUND((F298-C298-IF(OR(D298="",E298=""),0,E298-D298))*1440,0)</x:f>
        <x:v>230</x:v>
      </x:c>
      <x:c r="L298" t="n">
        <x:v>240</x:v>
      </x:c>
      <x:c r="M298" t="n">
        <x:f>K298-L298</x:f>
        <x:v>-10</x:v>
      </x:c>
      <x:c r="N298" t="n">
        <x:f>MAX(0,M298)</x:f>
        <x:v>0</x:v>
      </x:c>
      <x:c r="O298" t="n">
        <x:f>MAX(0,-M298)</x:f>
        <x:v>10</x:v>
      </x:c>
      <x:c r="P298" t="str">
        <x:v>Ponto registrado — complemento ilustrativo</x:v>
      </x:c>
      <x:c r="Q298" t="str">
        <x:v>Saída da CONFERÊNCIA DE CAIXA; entrada/intervalo simulados</x:v>
      </x:c>
      <x:c r="R298" t="str">
        <x:v>2026-02</x:v>
      </x:c>
    </x:row>
    <x:row r="299" ht="21" customHeight="1">
      <x:c r="A299" s="83" t="n">
        <x:v>46062</x:v>
      </x:c>
      <x:c r="B299" t="str">
        <x:v>segunda-feira</x:v>
      </x:c>
      <x:c r="C299" s="85" t="n">
        <x:v>0.5395833333333333</x:v>
      </x:c>
      <x:c r="D299" s="85" t="n">
        <x:v>0.6909722222222222</x:v>
      </x:c>
      <x:c r="E299" s="85" t="n">
        <x:v>0.7354166666666667</x:v>
      </x:c>
      <x:c r="F299" s="85" t="n">
        <x:v>0.8895833333333333</x:v>
      </x:c>
      <x:c r="G299" t="str">
        <x:f>TEXT(INT(K299/60),"00")&amp;":"&amp;TEXT(MOD(K299,60),"00")</x:f>
        <x:v>07:20</x:v>
      </x:c>
      <x:c r="H299" t="str">
        <x:f>TEXT(INT(L299/60),"00")&amp;":"&amp;TEXT(MOD(L299,60),"00")</x:f>
        <x:v>07:20</x:v>
      </x:c>
      <x:c r="I299" t="str">
        <x:f>IF(N299&gt;0,"+"&amp;TEXT(INT(N299/60),"00")&amp;":"&amp;TEXT(MOD(N299,60),"00"),"00:00")</x:f>
        <x:v>00:00</x:v>
      </x:c>
      <x:c r="J299" t="str">
        <x:f>IF(O299&gt;0,"-"&amp;TEXT(INT(O299/60),"00")&amp;":"&amp;TEXT(MOD(O299,60),"00"),"00:00")</x:f>
        <x:v>00:00</x:v>
      </x:c>
      <x:c r="K299" t="n">
        <x:f>ROUND((F299-C299-IF(OR(D299="",E299=""),0,E299-D299))*1440,0)</x:f>
        <x:v>440</x:v>
      </x:c>
      <x:c r="L299" t="n">
        <x:v>440</x:v>
      </x:c>
      <x:c r="M299" t="n">
        <x:f>K299-L299</x:f>
        <x:v>0</x:v>
      </x:c>
      <x:c r="N299" t="n">
        <x:f>MAX(0,M299)</x:f>
        <x:v>0</x:v>
      </x:c>
      <x:c r="O299" t="n">
        <x:f>MAX(0,-M299)</x:f>
        <x:v>0</x:v>
      </x:c>
      <x:c r="P299" t="str">
        <x:v>Ponto registrado — jornada revisada</x:v>
      </x:c>
      <x:c r="Q299" t="str">
        <x:v>Horários da planilha de jornadas revisada</x:v>
      </x:c>
      <x:c r="R299" t="str">
        <x:v>2026-02</x:v>
      </x:c>
    </x:row>
    <x:row r="300" ht="21" customHeight="1">
      <x:c r="A300" s="83" t="n">
        <x:v>46063</x:v>
      </x:c>
      <x:c r="B300" t="str">
        <x:v>terça-feira</x:v>
      </x:c>
      <x:c r="C300" s="85" t="n">
        <x:v>0.54375</x:v>
      </x:c>
      <x:c r="D300" s="85" t="n">
        <x:v>0.6680555555555555</x:v>
      </x:c>
      <x:c r="E300" s="85" t="n">
        <x:v>0.7083333333333334</x:v>
      </x:c>
      <x:c r="F300" s="85" t="n">
        <x:v>0.8888888888888888</x:v>
      </x:c>
      <x:c r="G300" t="str">
        <x:f>TEXT(INT(K300/60),"00")&amp;":"&amp;TEXT(MOD(K300,60),"00")</x:f>
        <x:v>07:19</x:v>
      </x:c>
      <x:c r="H300" t="str">
        <x:f>TEXT(INT(L300/60),"00")&amp;":"&amp;TEXT(MOD(L300,60),"00")</x:f>
        <x:v>07:20</x:v>
      </x:c>
      <x:c r="I300" t="str">
        <x:f>IF(N300&gt;0,"+"&amp;TEXT(INT(N300/60),"00")&amp;":"&amp;TEXT(MOD(N300,60),"00"),"00:00")</x:f>
        <x:v>00:00</x:v>
      </x:c>
      <x:c r="J300" t="str">
        <x:f>IF(O300&gt;0,"-"&amp;TEXT(INT(O300/60),"00")&amp;":"&amp;TEXT(MOD(O300,60),"00"),"00:00")</x:f>
        <x:v>-00:01</x:v>
      </x:c>
      <x:c r="K300" t="n">
        <x:f>ROUND((F300-C300-IF(OR(D300="",E300=""),0,E300-D300))*1440,0)</x:f>
        <x:v>439</x:v>
      </x:c>
      <x:c r="L300" t="n">
        <x:v>440</x:v>
      </x:c>
      <x:c r="M300" t="n">
        <x:f>K300-L300</x:f>
        <x:v>-1</x:v>
      </x:c>
      <x:c r="N300" t="n">
        <x:f>MAX(0,M300)</x:f>
        <x:v>0</x:v>
      </x:c>
      <x:c r="O300" t="n">
        <x:f>MAX(0,-M300)</x:f>
        <x:v>1</x:v>
      </x:c>
      <x:c r="P300" t="str">
        <x:v>Ponto registrado — complemento ilustrativo</x:v>
      </x:c>
      <x:c r="Q300" t="str">
        <x:v>Saída da CONFERÊNCIA DE CAIXA; entrada/intervalo simulados</x:v>
      </x:c>
      <x:c r="R300" t="str">
        <x:v>2026-02</x:v>
      </x:c>
    </x:row>
    <x:row r="301" ht="21" customHeight="1">
      <x:c r="A301" s="83" t="n">
        <x:v>46064</x:v>
      </x:c>
      <x:c r="B301" t="str">
        <x:v>quarta-feira</x:v>
      </x:c>
      <x:c r="C301" s="85" t="n">
        <x:v>0.54375</x:v>
      </x:c>
      <x:c r="D301" s="85" t="n">
        <x:v>0.6659722222222222</x:v>
      </x:c>
      <x:c r="E301" s="85" t="n">
        <x:v>0.7090277777777778</x:v>
      </x:c>
      <x:c r="F301" s="85" t="n">
        <x:v>0.8909722222222223</x:v>
      </x:c>
      <x:c r="G301" t="str">
        <x:f>TEXT(INT(K301/60),"00")&amp;":"&amp;TEXT(MOD(K301,60),"00")</x:f>
        <x:v>07:18</x:v>
      </x:c>
      <x:c r="H301" t="str">
        <x:f>TEXT(INT(L301/60),"00")&amp;":"&amp;TEXT(MOD(L301,60),"00")</x:f>
        <x:v>07:20</x:v>
      </x:c>
      <x:c r="I301" t="str">
        <x:f>IF(N301&gt;0,"+"&amp;TEXT(INT(N301/60),"00")&amp;":"&amp;TEXT(MOD(N301,60),"00"),"00:00")</x:f>
        <x:v>00:00</x:v>
      </x:c>
      <x:c r="J301" t="str">
        <x:f>IF(O301&gt;0,"-"&amp;TEXT(INT(O301/60),"00")&amp;":"&amp;TEXT(MOD(O301,60),"00"),"00:00")</x:f>
        <x:v>-00:02</x:v>
      </x:c>
      <x:c r="K301" t="n">
        <x:f>ROUND((F301-C301-IF(OR(D301="",E301=""),0,E301-D301))*1440,0)</x:f>
        <x:v>438</x:v>
      </x:c>
      <x:c r="L301" t="n">
        <x:v>440</x:v>
      </x:c>
      <x:c r="M301" t="n">
        <x:f>K301-L301</x:f>
        <x:v>-2</x:v>
      </x:c>
      <x:c r="N301" t="n">
        <x:f>MAX(0,M301)</x:f>
        <x:v>0</x:v>
      </x:c>
      <x:c r="O301" t="n">
        <x:f>MAX(0,-M301)</x:f>
        <x:v>2</x:v>
      </x:c>
      <x:c r="P301" t="str">
        <x:v>Ponto registrado — complemento ilustrativo</x:v>
      </x:c>
      <x:c r="Q301" t="str">
        <x:v>Saída da CONFERÊNCIA DE CAIXA; entrada/intervalo simulados</x:v>
      </x:c>
      <x:c r="R301" t="str">
        <x:v>2026-02</x:v>
      </x:c>
    </x:row>
    <x:row r="302" ht="21" customHeight="1">
      <x:c r="A302" s="83" t="n">
        <x:v>46065</x:v>
      </x:c>
      <x:c r="B302" t="str">
        <x:v>quinta-feira</x:v>
      </x:c>
      <x:c r="C302" s="85" t="n">
        <x:v>0.5409722222222222</x:v>
      </x:c>
      <x:c r="D302" s="85" t="n">
        <x:v>0.6805555555555556</x:v>
      </x:c>
      <x:c r="E302" s="85" t="n">
        <x:v>0.7215277777777778</x:v>
      </x:c>
      <x:c r="F302" s="85" t="n">
        <x:v>0.8888888888888888</x:v>
      </x:c>
      <x:c r="G302" t="str">
        <x:f>TEXT(INT(K302/60),"00")&amp;":"&amp;TEXT(MOD(K302,60),"00")</x:f>
        <x:v>07:22</x:v>
      </x:c>
      <x:c r="H302" t="str">
        <x:f>TEXT(INT(L302/60),"00")&amp;":"&amp;TEXT(MOD(L302,60),"00")</x:f>
        <x:v>07:20</x:v>
      </x:c>
      <x:c r="I302" t="str">
        <x:f>IF(N302&gt;0,"+"&amp;TEXT(INT(N302/60),"00")&amp;":"&amp;TEXT(MOD(N302,60),"00"),"00:00")</x:f>
        <x:v>+00:02</x:v>
      </x:c>
      <x:c r="J302" t="str">
        <x:f>IF(O302&gt;0,"-"&amp;TEXT(INT(O302/60),"00")&amp;":"&amp;TEXT(MOD(O302,60),"00"),"00:00")</x:f>
        <x:v>00:00</x:v>
      </x:c>
      <x:c r="K302" t="n">
        <x:f>ROUND((F302-C302-IF(OR(D302="",E302=""),0,E302-D302))*1440,0)</x:f>
        <x:v>442</x:v>
      </x:c>
      <x:c r="L302" t="n">
        <x:v>440</x:v>
      </x:c>
      <x:c r="M302" t="n">
        <x:f>K302-L302</x:f>
        <x:v>2</x:v>
      </x:c>
      <x:c r="N302" t="n">
        <x:f>MAX(0,M302)</x:f>
        <x:v>2</x:v>
      </x:c>
      <x:c r="O302" t="n">
        <x:f>MAX(0,-M302)</x:f>
        <x:v>0</x:v>
      </x:c>
      <x:c r="P302" t="str">
        <x:v>Ponto registrado — complemento ilustrativo</x:v>
      </x:c>
      <x:c r="Q302" t="str">
        <x:v>Saída da CONFERÊNCIA DE CAIXA; entrada/intervalo simulados</x:v>
      </x:c>
      <x:c r="R302" t="str">
        <x:v>2026-02</x:v>
      </x:c>
    </x:row>
    <x:row r="303" ht="21" customHeight="1">
      <x:c r="A303" s="83" t="n">
        <x:v>46066</x:v>
      </x:c>
      <x:c r="B303" t="str">
        <x:v>sexta-feira</x:v>
      </x:c>
      <x:c r="C303" s="85" t="n">
        <x:v>0.5430555555555555</x:v>
      </x:c>
      <x:c r="D303" s="85" t="n">
        <x:v>0.6784722222222223</x:v>
      </x:c>
      <x:c r="E303" s="85" t="n">
        <x:v>0.7180555555555556</x:v>
      </x:c>
      <x:c r="F303" s="85" t="n">
        <x:v>0.8888888888888888</x:v>
      </x:c>
      <x:c r="G303" t="str">
        <x:f>TEXT(INT(K303/60),"00")&amp;":"&amp;TEXT(MOD(K303,60),"00")</x:f>
        <x:v>07:21</x:v>
      </x:c>
      <x:c r="H303" t="str">
        <x:f>TEXT(INT(L303/60),"00")&amp;":"&amp;TEXT(MOD(L303,60),"00")</x:f>
        <x:v>07:20</x:v>
      </x:c>
      <x:c r="I303" t="str">
        <x:f>IF(N303&gt;0,"+"&amp;TEXT(INT(N303/60),"00")&amp;":"&amp;TEXT(MOD(N303,60),"00"),"00:00")</x:f>
        <x:v>+00:01</x:v>
      </x:c>
      <x:c r="J303" t="str">
        <x:f>IF(O303&gt;0,"-"&amp;TEXT(INT(O303/60),"00")&amp;":"&amp;TEXT(MOD(O303,60),"00"),"00:00")</x:f>
        <x:v>00:00</x:v>
      </x:c>
      <x:c r="K303" t="n">
        <x:f>ROUND((F303-C303-IF(OR(D303="",E303=""),0,E303-D303))*1440,0)</x:f>
        <x:v>441</x:v>
      </x:c>
      <x:c r="L303" t="n">
        <x:v>440</x:v>
      </x:c>
      <x:c r="M303" t="n">
        <x:f>K303-L303</x:f>
        <x:v>1</x:v>
      </x:c>
      <x:c r="N303" t="n">
        <x:f>MAX(0,M303)</x:f>
        <x:v>1</x:v>
      </x:c>
      <x:c r="O303" t="n">
        <x:f>MAX(0,-M303)</x:f>
        <x:v>0</x:v>
      </x:c>
      <x:c r="P303" t="str">
        <x:v>Ponto registrado — complemento ilustrativo</x:v>
      </x:c>
      <x:c r="Q303" t="str">
        <x:v>Saída da CONFERÊNCIA DE CAIXA; entrada/intervalo simulados</x:v>
      </x:c>
      <x:c r="R303" t="str">
        <x:v>2026-02</x:v>
      </x:c>
    </x:row>
    <x:row r="304" ht="21" customHeight="1">
      <x:c r="A304" s="83" t="n">
        <x:v>46067</x:v>
      </x:c>
      <x:c r="B304" t="str">
        <x:v>sábado</x:v>
      </x:c>
      <x:c r="C304" s="85" t="n">
        <x:v>0.54375</x:v>
      </x:c>
      <x:c r="D304" s="85"/>
      <x:c r="E304" s="85"/>
      <x:c r="F304" s="85" t="n">
        <x:v>0.7048611111111112</x:v>
      </x:c>
      <x:c r="G304" t="str">
        <x:f>TEXT(INT(K304/60),"00")&amp;":"&amp;TEXT(MOD(K304,60),"00")</x:f>
        <x:v>03:52</x:v>
      </x:c>
      <x:c r="H304" t="str">
        <x:f>TEXT(INT(L304/60),"00")&amp;":"&amp;TEXT(MOD(L304,60),"00")</x:f>
        <x:v>04:00</x:v>
      </x:c>
      <x:c r="I304" t="str">
        <x:f>IF(N304&gt;0,"+"&amp;TEXT(INT(N304/60),"00")&amp;":"&amp;TEXT(MOD(N304,60),"00"),"00:00")</x:f>
        <x:v>00:00</x:v>
      </x:c>
      <x:c r="J304" t="str">
        <x:f>IF(O304&gt;0,"-"&amp;TEXT(INT(O304/60),"00")&amp;":"&amp;TEXT(MOD(O304,60),"00"),"00:00")</x:f>
        <x:v>-00:08</x:v>
      </x:c>
      <x:c r="K304" t="n">
        <x:f>ROUND((F304-C304-IF(OR(D304="",E304=""),0,E304-D304))*1440,0)</x:f>
        <x:v>232</x:v>
      </x:c>
      <x:c r="L304" t="n">
        <x:v>240</x:v>
      </x:c>
      <x:c r="M304" t="n">
        <x:f>K304-L304</x:f>
        <x:v>-8</x:v>
      </x:c>
      <x:c r="N304" t="n">
        <x:f>MAX(0,M304)</x:f>
        <x:v>0</x:v>
      </x:c>
      <x:c r="O304" t="n">
        <x:f>MAX(0,-M304)</x:f>
        <x:v>8</x:v>
      </x:c>
      <x:c r="P304" t="str">
        <x:v>Ponto registrado — jornada revisada</x:v>
      </x:c>
      <x:c r="Q304" t="str">
        <x:v>Horários da planilha de jornadas revisada</x:v>
      </x:c>
      <x:c r="R304" t="str">
        <x:v>2026-02</x:v>
      </x:c>
    </x:row>
    <x:row r="305" ht="21" customHeight="1">
      <x:c r="A305" s="83" t="n">
        <x:v>46069</x:v>
      </x:c>
      <x:c r="B305" t="str">
        <x:v>segunda-feira</x:v>
      </x:c>
      <x:c r="C305" s="85" t="n">
        <x:v>0.5465277777777777</x:v>
      </x:c>
      <x:c r="D305" s="85" t="n">
        <x:v>0.6791666666666667</x:v>
      </x:c>
      <x:c r="E305" s="85" t="n">
        <x:v>0.7236111111111111</x:v>
      </x:c>
      <x:c r="F305" s="85" t="n">
        <x:v>0.8916666666666667</x:v>
      </x:c>
      <x:c r="G305" t="str">
        <x:f>TEXT(INT(K305/60),"00")&amp;":"&amp;TEXT(MOD(K305,60),"00")</x:f>
        <x:v>07:13</x:v>
      </x:c>
      <x:c r="H305" t="str">
        <x:f>TEXT(INT(L305/60),"00")&amp;":"&amp;TEXT(MOD(L305,60),"00")</x:f>
        <x:v>07:20</x:v>
      </x:c>
      <x:c r="I305" t="str">
        <x:f>IF(N305&gt;0,"+"&amp;TEXT(INT(N305/60),"00")&amp;":"&amp;TEXT(MOD(N305,60),"00"),"00:00")</x:f>
        <x:v>00:00</x:v>
      </x:c>
      <x:c r="J305" t="str">
        <x:f>IF(O305&gt;0,"-"&amp;TEXT(INT(O305/60),"00")&amp;":"&amp;TEXT(MOD(O305,60),"00"),"00:00")</x:f>
        <x:v>-00:07</x:v>
      </x:c>
      <x:c r="K305" t="n">
        <x:f>ROUND((F305-C305-IF(OR(D305="",E305=""),0,E305-D305))*1440,0)</x:f>
        <x:v>433</x:v>
      </x:c>
      <x:c r="L305" t="n">
        <x:v>440</x:v>
      </x:c>
      <x:c r="M305" t="n">
        <x:f>K305-L305</x:f>
        <x:v>-7</x:v>
      </x:c>
      <x:c r="N305" t="n">
        <x:f>MAX(0,M305)</x:f>
        <x:v>0</x:v>
      </x:c>
      <x:c r="O305" t="n">
        <x:f>MAX(0,-M305)</x:f>
        <x:v>7</x:v>
      </x:c>
      <x:c r="P305" t="str">
        <x:v>Ponto registrado — complemento ilustrativo</x:v>
      </x:c>
      <x:c r="Q305" t="str">
        <x:v>Saída da CONFERÊNCIA DE CAIXA; entrada/intervalo simulados</x:v>
      </x:c>
      <x:c r="R305" t="str">
        <x:v>2026-02</x:v>
      </x:c>
    </x:row>
    <x:row r="306" ht="21" customHeight="1">
      <x:c r="A306" s="83" t="n">
        <x:v>46070</x:v>
      </x:c>
      <x:c r="B306" t="str">
        <x:v>terça-feira</x:v>
      </x:c>
      <x:c r="C306" s="85" t="n">
        <x:v>0.5416666666666666</x:v>
      </x:c>
      <x:c r="D306" s="85" t="n">
        <x:v>0.6722222222222223</x:v>
      </x:c>
      <x:c r="E306" s="85" t="n">
        <x:v>0.7125</x:v>
      </x:c>
      <x:c r="F306" s="85" t="n">
        <x:v>0.8888888888888888</x:v>
      </x:c>
      <x:c r="G306" t="str">
        <x:f>TEXT(INT(K306/60),"00")&amp;":"&amp;TEXT(MOD(K306,60),"00")</x:f>
        <x:v>07:22</x:v>
      </x:c>
      <x:c r="H306" t="str">
        <x:f>TEXT(INT(L306/60),"00")&amp;":"&amp;TEXT(MOD(L306,60),"00")</x:f>
        <x:v>07:20</x:v>
      </x:c>
      <x:c r="I306" t="str">
        <x:f>IF(N306&gt;0,"+"&amp;TEXT(INT(N306/60),"00")&amp;":"&amp;TEXT(MOD(N306,60),"00"),"00:00")</x:f>
        <x:v>+00:02</x:v>
      </x:c>
      <x:c r="J306" t="str">
        <x:f>IF(O306&gt;0,"-"&amp;TEXT(INT(O306/60),"00")&amp;":"&amp;TEXT(MOD(O306,60),"00"),"00:00")</x:f>
        <x:v>00:00</x:v>
      </x:c>
      <x:c r="K306" t="n">
        <x:f>ROUND((F306-C306-IF(OR(D306="",E306=""),0,E306-D306))*1440,0)</x:f>
        <x:v>442</x:v>
      </x:c>
      <x:c r="L306" t="n">
        <x:v>440</x:v>
      </x:c>
      <x:c r="M306" t="n">
        <x:f>K306-L306</x:f>
        <x:v>2</x:v>
      </x:c>
      <x:c r="N306" t="n">
        <x:f>MAX(0,M306)</x:f>
        <x:v>2</x:v>
      </x:c>
      <x:c r="O306" t="n">
        <x:f>MAX(0,-M306)</x:f>
        <x:v>0</x:v>
      </x:c>
      <x:c r="P306" t="str">
        <x:v>Ponto registrado — complemento ilustrativo</x:v>
      </x:c>
      <x:c r="Q306" t="str">
        <x:v>Saída da CONFERÊNCIA DE CAIXA; entrada/intervalo simulados</x:v>
      </x:c>
      <x:c r="R306" t="str">
        <x:v>2026-02</x:v>
      </x:c>
    </x:row>
    <x:row r="307" ht="21" customHeight="1">
      <x:c r="A307" s="83" t="n">
        <x:v>46071</x:v>
      </x:c>
      <x:c r="B307" t="str">
        <x:v>quarta-feira</x:v>
      </x:c>
      <x:c r="C307" s="85" t="n">
        <x:v>0.5395833333333333</x:v>
      </x:c>
      <x:c r="D307" s="85" t="n">
        <x:v>0.6715277777777777</x:v>
      </x:c>
      <x:c r="E307" s="85" t="n">
        <x:v>0.7145833333333333</x:v>
      </x:c>
      <x:c r="F307" s="85" t="n">
        <x:v>0.8875</x:v>
      </x:c>
      <x:c r="G307" t="str">
        <x:f>TEXT(INT(K307/60),"00")&amp;":"&amp;TEXT(MOD(K307,60),"00")</x:f>
        <x:v>07:19</x:v>
      </x:c>
      <x:c r="H307" t="str">
        <x:f>TEXT(INT(L307/60),"00")&amp;":"&amp;TEXT(MOD(L307,60),"00")</x:f>
        <x:v>07:20</x:v>
      </x:c>
      <x:c r="I307" t="str">
        <x:f>IF(N307&gt;0,"+"&amp;TEXT(INT(N307/60),"00")&amp;":"&amp;TEXT(MOD(N307,60),"00"),"00:00")</x:f>
        <x:v>00:00</x:v>
      </x:c>
      <x:c r="J307" t="str">
        <x:f>IF(O307&gt;0,"-"&amp;TEXT(INT(O307/60),"00")&amp;":"&amp;TEXT(MOD(O307,60),"00"),"00:00")</x:f>
        <x:v>-00:01</x:v>
      </x:c>
      <x:c r="K307" t="n">
        <x:f>ROUND((F307-C307-IF(OR(D307="",E307=""),0,E307-D307))*1440,0)</x:f>
        <x:v>439</x:v>
      </x:c>
      <x:c r="L307" t="n">
        <x:v>440</x:v>
      </x:c>
      <x:c r="M307" t="n">
        <x:f>K307-L307</x:f>
        <x:v>-1</x:v>
      </x:c>
      <x:c r="N307" t="n">
        <x:f>MAX(0,M307)</x:f>
        <x:v>0</x:v>
      </x:c>
      <x:c r="O307" t="n">
        <x:f>MAX(0,-M307)</x:f>
        <x:v>1</x:v>
      </x:c>
      <x:c r="P307" t="str">
        <x:v>Ponto registrado — complemento ilustrativo</x:v>
      </x:c>
      <x:c r="Q307" t="str">
        <x:v>Saída da CONFERÊNCIA DE CAIXA; entrada/intervalo simulados</x:v>
      </x:c>
      <x:c r="R307" t="str">
        <x:v>2026-02</x:v>
      </x:c>
    </x:row>
    <x:row r="308" ht="21" customHeight="1">
      <x:c r="A308" s="83" t="n">
        <x:v>46072</x:v>
      </x:c>
      <x:c r="B308" t="str">
        <x:v>quinta-feira</x:v>
      </x:c>
      <x:c r="C308" s="85" t="n">
        <x:v>0.5451388888888888</x:v>
      </x:c>
      <x:c r="D308" s="85" t="n">
        <x:v>0.6722222222222223</x:v>
      </x:c>
      <x:c r="E308" s="85" t="n">
        <x:v>0.7125</x:v>
      </x:c>
      <x:c r="F308" s="85" t="n">
        <x:v>0.8895833333333333</x:v>
      </x:c>
      <x:c r="G308" t="str">
        <x:f>TEXT(INT(K308/60),"00")&amp;":"&amp;TEXT(MOD(K308,60),"00")</x:f>
        <x:v>07:18</x:v>
      </x:c>
      <x:c r="H308" t="str">
        <x:f>TEXT(INT(L308/60),"00")&amp;":"&amp;TEXT(MOD(L308,60),"00")</x:f>
        <x:v>07:20</x:v>
      </x:c>
      <x:c r="I308" t="str">
        <x:f>IF(N308&gt;0,"+"&amp;TEXT(INT(N308/60),"00")&amp;":"&amp;TEXT(MOD(N308,60),"00"),"00:00")</x:f>
        <x:v>00:00</x:v>
      </x:c>
      <x:c r="J308" t="str">
        <x:f>IF(O308&gt;0,"-"&amp;TEXT(INT(O308/60),"00")&amp;":"&amp;TEXT(MOD(O308,60),"00"),"00:00")</x:f>
        <x:v>-00:02</x:v>
      </x:c>
      <x:c r="K308" t="n">
        <x:f>ROUND((F308-C308-IF(OR(D308="",E308=""),0,E308-D308))*1440,0)</x:f>
        <x:v>438</x:v>
      </x:c>
      <x:c r="L308" t="n">
        <x:v>440</x:v>
      </x:c>
      <x:c r="M308" t="n">
        <x:f>K308-L308</x:f>
        <x:v>-2</x:v>
      </x:c>
      <x:c r="N308" t="n">
        <x:f>MAX(0,M308)</x:f>
        <x:v>0</x:v>
      </x:c>
      <x:c r="O308" t="n">
        <x:f>MAX(0,-M308)</x:f>
        <x:v>2</x:v>
      </x:c>
      <x:c r="P308" t="str">
        <x:v>Ponto registrado — complemento ilustrativo</x:v>
      </x:c>
      <x:c r="Q308" t="str">
        <x:v>Saída da CONFERÊNCIA DE CAIXA; entrada/intervalo simulados</x:v>
      </x:c>
      <x:c r="R308" t="str">
        <x:v>2026-02</x:v>
      </x:c>
    </x:row>
    <x:row r="309" ht="21" customHeight="1">
      <x:c r="A309" s="83" t="n">
        <x:v>46073</x:v>
      </x:c>
      <x:c r="B309" t="str">
        <x:v>sexta-feira</x:v>
      </x:c>
      <x:c r="C309" s="85" t="n">
        <x:v>0.5402777777777777</x:v>
      </x:c>
      <x:c r="D309" s="85" t="n">
        <x:v>0.6673611111111111</x:v>
      </x:c>
      <x:c r="E309" s="85" t="n">
        <x:v>0.7083333333333334</x:v>
      </x:c>
      <x:c r="F309" s="85" t="n">
        <x:v>0.8861111111111111</x:v>
      </x:c>
      <x:c r="G309" t="str">
        <x:f>TEXT(INT(K309/60),"00")&amp;":"&amp;TEXT(MOD(K309,60),"00")</x:f>
        <x:v>07:19</x:v>
      </x:c>
      <x:c r="H309" t="str">
        <x:f>TEXT(INT(L309/60),"00")&amp;":"&amp;TEXT(MOD(L309,60),"00")</x:f>
        <x:v>07:20</x:v>
      </x:c>
      <x:c r="I309" t="str">
        <x:f>IF(N309&gt;0,"+"&amp;TEXT(INT(N309/60),"00")&amp;":"&amp;TEXT(MOD(N309,60),"00"),"00:00")</x:f>
        <x:v>00:00</x:v>
      </x:c>
      <x:c r="J309" t="str">
        <x:f>IF(O309&gt;0,"-"&amp;TEXT(INT(O309/60),"00")&amp;":"&amp;TEXT(MOD(O309,60),"00"),"00:00")</x:f>
        <x:v>-00:01</x:v>
      </x:c>
      <x:c r="K309" t="n">
        <x:f>ROUND((F309-C309-IF(OR(D309="",E309=""),0,E309-D309))*1440,0)</x:f>
        <x:v>439</x:v>
      </x:c>
      <x:c r="L309" t="n">
        <x:v>440</x:v>
      </x:c>
      <x:c r="M309" t="n">
        <x:f>K309-L309</x:f>
        <x:v>-1</x:v>
      </x:c>
      <x:c r="N309" t="n">
        <x:f>MAX(0,M309)</x:f>
        <x:v>0</x:v>
      </x:c>
      <x:c r="O309" t="n">
        <x:f>MAX(0,-M309)</x:f>
        <x:v>1</x:v>
      </x:c>
      <x:c r="P309" t="str">
        <x:v>Ponto registrado — complemento ilustrativo</x:v>
      </x:c>
      <x:c r="Q309" t="str">
        <x:v>Saída da CONFERÊNCIA DE CAIXA; entrada/intervalo simulados</x:v>
      </x:c>
      <x:c r="R309" t="str">
        <x:v>2026-02</x:v>
      </x:c>
    </x:row>
    <x:row r="310" ht="21" customHeight="1">
      <x:c r="A310" s="83" t="n">
        <x:v>46074</x:v>
      </x:c>
      <x:c r="B310" t="str">
        <x:v>sábado</x:v>
      </x:c>
      <x:c r="C310" s="85" t="n">
        <x:v>0.5409722222222222</x:v>
      </x:c>
      <x:c r="D310" s="85"/>
      <x:c r="E310" s="85"/>
      <x:c r="F310" s="85" t="n">
        <x:v>0.7048611111111112</x:v>
      </x:c>
      <x:c r="G310" t="str">
        <x:f>TEXT(INT(K310/60),"00")&amp;":"&amp;TEXT(MOD(K310,60),"00")</x:f>
        <x:v>03:56</x:v>
      </x:c>
      <x:c r="H310" t="str">
        <x:f>TEXT(INT(L310/60),"00")&amp;":"&amp;TEXT(MOD(L310,60),"00")</x:f>
        <x:v>04:00</x:v>
      </x:c>
      <x:c r="I310" t="str">
        <x:f>IF(N310&gt;0,"+"&amp;TEXT(INT(N310/60),"00")&amp;":"&amp;TEXT(MOD(N310,60),"00"),"00:00")</x:f>
        <x:v>00:00</x:v>
      </x:c>
      <x:c r="J310" t="str">
        <x:f>IF(O310&gt;0,"-"&amp;TEXT(INT(O310/60),"00")&amp;":"&amp;TEXT(MOD(O310,60),"00"),"00:00")</x:f>
        <x:v>-00:04</x:v>
      </x:c>
      <x:c r="K310" t="n">
        <x:f>ROUND((F310-C310-IF(OR(D310="",E310=""),0,E310-D310))*1440,0)</x:f>
        <x:v>236</x:v>
      </x:c>
      <x:c r="L310" t="n">
        <x:v>240</x:v>
      </x:c>
      <x:c r="M310" t="n">
        <x:f>K310-L310</x:f>
        <x:v>-4</x:v>
      </x:c>
      <x:c r="N310" t="n">
        <x:f>MAX(0,M310)</x:f>
        <x:v>0</x:v>
      </x:c>
      <x:c r="O310" t="n">
        <x:f>MAX(0,-M310)</x:f>
        <x:v>4</x:v>
      </x:c>
      <x:c r="P310" t="str">
        <x:v>Ponto registrado — complemento ilustrativo</x:v>
      </x:c>
      <x:c r="Q310" t="str">
        <x:v>Saída da CONFERÊNCIA DE CAIXA; entrada/intervalo simulados</x:v>
      </x:c>
      <x:c r="R310" t="str">
        <x:v>2026-02</x:v>
      </x:c>
    </x:row>
    <x:row r="311" ht="21" customHeight="1">
      <x:c r="A311" s="83" t="n">
        <x:v>46076</x:v>
      </x:c>
      <x:c r="B311" t="str">
        <x:v>segunda-feira</x:v>
      </x:c>
      <x:c r="C311" s="85" t="n">
        <x:v>0.5451388888888888</x:v>
      </x:c>
      <x:c r="D311" s="85" t="n">
        <x:v>0.6666666666666666</x:v>
      </x:c>
      <x:c r="E311" s="85" t="n">
        <x:v>0.7097222222222223</x:v>
      </x:c>
      <x:c r="F311" s="85" t="n">
        <x:v>0.8895833333333333</x:v>
      </x:c>
      <x:c r="G311" t="str">
        <x:f>TEXT(INT(K311/60),"00")&amp;":"&amp;TEXT(MOD(K311,60),"00")</x:f>
        <x:v>07:14</x:v>
      </x:c>
      <x:c r="H311" t="str">
        <x:f>TEXT(INT(L311/60),"00")&amp;":"&amp;TEXT(MOD(L311,60),"00")</x:f>
        <x:v>07:20</x:v>
      </x:c>
      <x:c r="I311" t="str">
        <x:f>IF(N311&gt;0,"+"&amp;TEXT(INT(N311/60),"00")&amp;":"&amp;TEXT(MOD(N311,60),"00"),"00:00")</x:f>
        <x:v>00:00</x:v>
      </x:c>
      <x:c r="J311" t="str">
        <x:f>IF(O311&gt;0,"-"&amp;TEXT(INT(O311/60),"00")&amp;":"&amp;TEXT(MOD(O311,60),"00"),"00:00")</x:f>
        <x:v>-00:06</x:v>
      </x:c>
      <x:c r="K311" t="n">
        <x:f>ROUND((F311-C311-IF(OR(D311="",E311=""),0,E311-D311))*1440,0)</x:f>
        <x:v>434</x:v>
      </x:c>
      <x:c r="L311" t="n">
        <x:v>440</x:v>
      </x:c>
      <x:c r="M311" t="n">
        <x:f>K311-L311</x:f>
        <x:v>-6</x:v>
      </x:c>
      <x:c r="N311" t="n">
        <x:f>MAX(0,M311)</x:f>
        <x:v>0</x:v>
      </x:c>
      <x:c r="O311" t="n">
        <x:f>MAX(0,-M311)</x:f>
        <x:v>6</x:v>
      </x:c>
      <x:c r="P311" t="str">
        <x:v>Ponto registrado — complemento ilustrativo</x:v>
      </x:c>
      <x:c r="Q311" t="str">
        <x:v>Saída da CONFERÊNCIA DE CAIXA; entrada/intervalo simulados</x:v>
      </x:c>
      <x:c r="R311" t="str">
        <x:v>2026-02</x:v>
      </x:c>
    </x:row>
    <x:row r="312" ht="21" customHeight="1">
      <x:c r="A312" s="83" t="n">
        <x:v>46077</x:v>
      </x:c>
      <x:c r="B312" t="str">
        <x:v>terça-feira</x:v>
      </x:c>
      <x:c r="C312" s="85" t="n">
        <x:v>0.5430555555555555</x:v>
      </x:c>
      <x:c r="D312" s="85" t="n">
        <x:v>0.6729166666666667</x:v>
      </x:c>
      <x:c r="E312" s="85" t="n">
        <x:v>0.7173611111111111</x:v>
      </x:c>
      <x:c r="F312" s="85" t="n">
        <x:v>0.8902777777777777</x:v>
      </x:c>
      <x:c r="G312" t="str">
        <x:f>TEXT(INT(K312/60),"00")&amp;":"&amp;TEXT(MOD(K312,60),"00")</x:f>
        <x:v>07:16</x:v>
      </x:c>
      <x:c r="H312" t="str">
        <x:f>TEXT(INT(L312/60),"00")&amp;":"&amp;TEXT(MOD(L312,60),"00")</x:f>
        <x:v>07:20</x:v>
      </x:c>
      <x:c r="I312" t="str">
        <x:f>IF(N312&gt;0,"+"&amp;TEXT(INT(N312/60),"00")&amp;":"&amp;TEXT(MOD(N312,60),"00"),"00:00")</x:f>
        <x:v>00:00</x:v>
      </x:c>
      <x:c r="J312" t="str">
        <x:f>IF(O312&gt;0,"-"&amp;TEXT(INT(O312/60),"00")&amp;":"&amp;TEXT(MOD(O312,60),"00"),"00:00")</x:f>
        <x:v>-00:04</x:v>
      </x:c>
      <x:c r="K312" t="n">
        <x:f>ROUND((F312-C312-IF(OR(D312="",E312=""),0,E312-D312))*1440,0)</x:f>
        <x:v>436</x:v>
      </x:c>
      <x:c r="L312" t="n">
        <x:v>440</x:v>
      </x:c>
      <x:c r="M312" t="n">
        <x:f>K312-L312</x:f>
        <x:v>-4</x:v>
      </x:c>
      <x:c r="N312" t="n">
        <x:f>MAX(0,M312)</x:f>
        <x:v>0</x:v>
      </x:c>
      <x:c r="O312" t="n">
        <x:f>MAX(0,-M312)</x:f>
        <x:v>4</x:v>
      </x:c>
      <x:c r="P312" t="str">
        <x:v>Ponto registrado — complemento ilustrativo</x:v>
      </x:c>
      <x:c r="Q312" t="str">
        <x:v>Saída da CONFERÊNCIA DE CAIXA; entrada/intervalo simulados</x:v>
      </x:c>
      <x:c r="R312" t="str">
        <x:v>2026-02</x:v>
      </x:c>
    </x:row>
    <x:row r="313" ht="21" customHeight="1">
      <x:c r="A313" s="83" t="n">
        <x:v>46078</x:v>
      </x:c>
      <x:c r="B313" t="str">
        <x:v>quarta-feira</x:v>
      </x:c>
      <x:c r="C313" s="85" t="n">
        <x:v>0.5451388888888888</x:v>
      </x:c>
      <x:c r="D313" s="85" t="n">
        <x:v>0.6701388888888888</x:v>
      </x:c>
      <x:c r="E313" s="85" t="n">
        <x:v>0.7090277777777778</x:v>
      </x:c>
      <x:c r="F313" s="85" t="n">
        <x:v>0.8875</x:v>
      </x:c>
      <x:c r="G313" t="str">
        <x:f>TEXT(INT(K313/60),"00")&amp;":"&amp;TEXT(MOD(K313,60),"00")</x:f>
        <x:v>07:17</x:v>
      </x:c>
      <x:c r="H313" t="str">
        <x:f>TEXT(INT(L313/60),"00")&amp;":"&amp;TEXT(MOD(L313,60),"00")</x:f>
        <x:v>07:20</x:v>
      </x:c>
      <x:c r="I313" t="str">
        <x:f>IF(N313&gt;0,"+"&amp;TEXT(INT(N313/60),"00")&amp;":"&amp;TEXT(MOD(N313,60),"00"),"00:00")</x:f>
        <x:v>00:00</x:v>
      </x:c>
      <x:c r="J313" t="str">
        <x:f>IF(O313&gt;0,"-"&amp;TEXT(INT(O313/60),"00")&amp;":"&amp;TEXT(MOD(O313,60),"00"),"00:00")</x:f>
        <x:v>-00:03</x:v>
      </x:c>
      <x:c r="K313" t="n">
        <x:f>ROUND((F313-C313-IF(OR(D313="",E313=""),0,E313-D313))*1440,0)</x:f>
        <x:v>437</x:v>
      </x:c>
      <x:c r="L313" t="n">
        <x:v>440</x:v>
      </x:c>
      <x:c r="M313" t="n">
        <x:f>K313-L313</x:f>
        <x:v>-3</x:v>
      </x:c>
      <x:c r="N313" t="n">
        <x:f>MAX(0,M313)</x:f>
        <x:v>0</x:v>
      </x:c>
      <x:c r="O313" t="n">
        <x:f>MAX(0,-M313)</x:f>
        <x:v>3</x:v>
      </x:c>
      <x:c r="P313" t="str">
        <x:v>Ponto registrado — complemento ilustrativo</x:v>
      </x:c>
      <x:c r="Q313" t="str">
        <x:v>Saída da CONFERÊNCIA DE CAIXA; entrada/intervalo simulados</x:v>
      </x:c>
      <x:c r="R313" t="str">
        <x:v>2026-02</x:v>
      </x:c>
    </x:row>
    <x:row r="314" ht="21" customHeight="1">
      <x:c r="A314" s="83" t="n">
        <x:v>46079</x:v>
      </x:c>
      <x:c r="B314" t="str">
        <x:v>quinta-feira</x:v>
      </x:c>
      <x:c r="C314" s="85" t="n">
        <x:v>0.5423611111111111</x:v>
      </x:c>
      <x:c r="D314" s="85" t="n">
        <x:v>0.6805555555555556</x:v>
      </x:c>
      <x:c r="E314" s="85" t="n">
        <x:v>0.7236111111111111</x:v>
      </x:c>
      <x:c r="F314" s="85" t="n">
        <x:v>0.8895833333333333</x:v>
      </x:c>
      <x:c r="G314" t="str">
        <x:f>TEXT(INT(K314/60),"00")&amp;":"&amp;TEXT(MOD(K314,60),"00")</x:f>
        <x:v>07:18</x:v>
      </x:c>
      <x:c r="H314" t="str">
        <x:f>TEXT(INT(L314/60),"00")&amp;":"&amp;TEXT(MOD(L314,60),"00")</x:f>
        <x:v>07:20</x:v>
      </x:c>
      <x:c r="I314" t="str">
        <x:f>IF(N314&gt;0,"+"&amp;TEXT(INT(N314/60),"00")&amp;":"&amp;TEXT(MOD(N314,60),"00"),"00:00")</x:f>
        <x:v>00:00</x:v>
      </x:c>
      <x:c r="J314" t="str">
        <x:f>IF(O314&gt;0,"-"&amp;TEXT(INT(O314/60),"00")&amp;":"&amp;TEXT(MOD(O314,60),"00"),"00:00")</x:f>
        <x:v>-00:02</x:v>
      </x:c>
      <x:c r="K314" t="n">
        <x:f>ROUND((F314-C314-IF(OR(D314="",E314=""),0,E314-D314))*1440,0)</x:f>
        <x:v>438</x:v>
      </x:c>
      <x:c r="L314" t="n">
        <x:v>440</x:v>
      </x:c>
      <x:c r="M314" t="n">
        <x:f>K314-L314</x:f>
        <x:v>-2</x:v>
      </x:c>
      <x:c r="N314" t="n">
        <x:f>MAX(0,M314)</x:f>
        <x:v>0</x:v>
      </x:c>
      <x:c r="O314" t="n">
        <x:f>MAX(0,-M314)</x:f>
        <x:v>2</x:v>
      </x:c>
      <x:c r="P314" t="str">
        <x:v>Ponto registrado — complemento ilustrativo</x:v>
      </x:c>
      <x:c r="Q314" t="str">
        <x:v>Saída da CONFERÊNCIA DE CAIXA; entrada/intervalo simulados</x:v>
      </x:c>
      <x:c r="R314" t="str">
        <x:v>2026-02</x:v>
      </x:c>
    </x:row>
    <x:row r="315" ht="21" customHeight="1">
      <x:c r="A315" s="83" t="n">
        <x:v>46080</x:v>
      </x:c>
      <x:c r="B315" t="str">
        <x:v>sexta-feira</x:v>
      </x:c>
      <x:c r="C315" s="85" t="n">
        <x:v>0.5451388888888888</x:v>
      </x:c>
      <x:c r="D315" s="85" t="n">
        <x:v>0.6666666666666666</x:v>
      </x:c>
      <x:c r="E315" s="85" t="n">
        <x:v>0.7055555555555556</x:v>
      </x:c>
      <x:c r="F315" s="85" t="n">
        <x:v>0.8888888888888888</x:v>
      </x:c>
      <x:c r="G315" t="str">
        <x:f>TEXT(INT(K315/60),"00")&amp;":"&amp;TEXT(MOD(K315,60),"00")</x:f>
        <x:v>07:19</x:v>
      </x:c>
      <x:c r="H315" t="str">
        <x:f>TEXT(INT(L315/60),"00")&amp;":"&amp;TEXT(MOD(L315,60),"00")</x:f>
        <x:v>07:20</x:v>
      </x:c>
      <x:c r="I315" t="str">
        <x:f>IF(N315&gt;0,"+"&amp;TEXT(INT(N315/60),"00")&amp;":"&amp;TEXT(MOD(N315,60),"00"),"00:00")</x:f>
        <x:v>00:00</x:v>
      </x:c>
      <x:c r="J315" t="str">
        <x:f>IF(O315&gt;0,"-"&amp;TEXT(INT(O315/60),"00")&amp;":"&amp;TEXT(MOD(O315,60),"00"),"00:00")</x:f>
        <x:v>-00:01</x:v>
      </x:c>
      <x:c r="K315" t="n">
        <x:f>ROUND((F315-C315-IF(OR(D315="",E315=""),0,E315-D315))*1440,0)</x:f>
        <x:v>439</x:v>
      </x:c>
      <x:c r="L315" t="n">
        <x:v>440</x:v>
      </x:c>
      <x:c r="M315" t="n">
        <x:f>K315-L315</x:f>
        <x:v>-1</x:v>
      </x:c>
      <x:c r="N315" t="n">
        <x:f>MAX(0,M315)</x:f>
        <x:v>0</x:v>
      </x:c>
      <x:c r="O315" t="n">
        <x:f>MAX(0,-M315)</x:f>
        <x:v>1</x:v>
      </x:c>
      <x:c r="P315" t="str">
        <x:v>Ponto registrado — complemento ilustrativo</x:v>
      </x:c>
      <x:c r="Q315" t="str">
        <x:v>Saída da CONFERÊNCIA DE CAIXA; entrada/intervalo simulados</x:v>
      </x:c>
      <x:c r="R315" t="str">
        <x:v>2026-02</x:v>
      </x:c>
    </x:row>
    <x:row r="316" ht="21" customHeight="1">
      <x:c r="A316" s="83" t="n">
        <x:v>46081</x:v>
      </x:c>
      <x:c r="B316" t="str">
        <x:v>sábado</x:v>
      </x:c>
      <x:c r="C316" s="85" t="n">
        <x:v>0.5381944444444444</x:v>
      </x:c>
      <x:c r="D316" s="85" t="n">
        <x:v>0.6701388888888888</x:v>
      </x:c>
      <x:c r="E316" s="85" t="n">
        <x:v>0.6805555555555556</x:v>
      </x:c>
      <x:c r="F316" s="85" t="n">
        <x:v>0.7111111111111111</x:v>
      </x:c>
      <x:c r="G316" t="str">
        <x:f>TEXT(INT(K316/60),"00")&amp;":"&amp;TEXT(MOD(K316,60),"00")</x:f>
        <x:v>03:54</x:v>
      </x:c>
      <x:c r="H316" t="str">
        <x:f>TEXT(INT(L316/60),"00")&amp;":"&amp;TEXT(MOD(L316,60),"00")</x:f>
        <x:v>04:00</x:v>
      </x:c>
      <x:c r="I316" t="str">
        <x:f>IF(N316&gt;0,"+"&amp;TEXT(INT(N316/60),"00")&amp;":"&amp;TEXT(MOD(N316,60),"00"),"00:00")</x:f>
        <x:v>00:00</x:v>
      </x:c>
      <x:c r="J316" t="str">
        <x:f>IF(O316&gt;0,"-"&amp;TEXT(INT(O316/60),"00")&amp;":"&amp;TEXT(MOD(O316,60),"00"),"00:00")</x:f>
        <x:v>-00:06</x:v>
      </x:c>
      <x:c r="K316" t="n">
        <x:f>ROUND((F316-C316-IF(OR(D316="",E316=""),0,E316-D316))*1440,0)</x:f>
        <x:v>234</x:v>
      </x:c>
      <x:c r="L316" t="n">
        <x:v>240</x:v>
      </x:c>
      <x:c r="M316" t="n">
        <x:f>K316-L316</x:f>
        <x:v>-6</x:v>
      </x:c>
      <x:c r="N316" t="n">
        <x:f>MAX(0,M316)</x:f>
        <x:v>0</x:v>
      </x:c>
      <x:c r="O316" t="n">
        <x:f>MAX(0,-M316)</x:f>
        <x:v>6</x:v>
      </x:c>
      <x:c r="P316" t="str">
        <x:v>Ponto registrado — complemento ilustrativo</x:v>
      </x:c>
      <x:c r="Q316" t="str">
        <x:v>Saída da CONFERÊNCIA DE CAIXA; entrada/intervalo simulados</x:v>
      </x:c>
      <x:c r="R316" t="str">
        <x:v>2026-02</x:v>
      </x:c>
    </x:row>
    <x:row r="317" ht="21" customHeight="1">
      <x:c r="A317" s="83" t="n">
        <x:v>46083</x:v>
      </x:c>
      <x:c r="B317" t="str">
        <x:v>segunda-feira</x:v>
      </x:c>
      <x:c r="C317" s="85" t="n">
        <x:v>0.5451388888888888</x:v>
      </x:c>
      <x:c r="D317" s="85" t="n">
        <x:v>0.6805555555555556</x:v>
      </x:c>
      <x:c r="E317" s="85" t="n">
        <x:v>0.7243055555555555</x:v>
      </x:c>
      <x:c r="F317" s="85" t="n">
        <x:v>0.8791666666666667</x:v>
      </x:c>
      <x:c r="G317" t="str">
        <x:f>TEXT(INT(K317/60),"00")&amp;":"&amp;TEXT(MOD(K317,60),"00")</x:f>
        <x:v>06:58</x:v>
      </x:c>
      <x:c r="H317" t="str">
        <x:f>TEXT(INT(L317/60),"00")&amp;":"&amp;TEXT(MOD(L317,60),"00")</x:f>
        <x:v>07:20</x:v>
      </x:c>
      <x:c r="I317" t="str">
        <x:f>IF(N317&gt;0,"+"&amp;TEXT(INT(N317/60),"00")&amp;":"&amp;TEXT(MOD(N317,60),"00"),"00:00")</x:f>
        <x:v>00:00</x:v>
      </x:c>
      <x:c r="J317" t="str">
        <x:f>IF(O317&gt;0,"-"&amp;TEXT(INT(O317/60),"00")&amp;":"&amp;TEXT(MOD(O317,60),"00"),"00:00")</x:f>
        <x:v>-00:22</x:v>
      </x:c>
      <x:c r="K317" t="n">
        <x:f>ROUND((F317-C317-IF(OR(D317="",E317=""),0,E317-D317))*1440,0)</x:f>
        <x:v>418</x:v>
      </x:c>
      <x:c r="L317" t="n">
        <x:v>440</x:v>
      </x:c>
      <x:c r="M317" t="n">
        <x:f>K317-L317</x:f>
        <x:v>-22</x:v>
      </x:c>
      <x:c r="N317" t="n">
        <x:f>MAX(0,M317)</x:f>
        <x:v>0</x:v>
      </x:c>
      <x:c r="O317" t="n">
        <x:f>MAX(0,-M317)</x:f>
        <x:v>22</x:v>
      </x:c>
      <x:c r="P317" t="str">
        <x:v>Ponto registrado — complemento ilustrativo</x:v>
      </x:c>
      <x:c r="Q317" t="str">
        <x:v>Saída da CONFERÊNCIA DE CAIXA; entrada/intervalo simulados</x:v>
      </x:c>
      <x:c r="R317" t="str">
        <x:v>2026-03</x:v>
      </x:c>
    </x:row>
    <x:row r="318" ht="21" customHeight="1">
      <x:c r="A318" s="83" t="n">
        <x:v>46084</x:v>
      </x:c>
      <x:c r="B318" t="str">
        <x:v>terça-feira</x:v>
      </x:c>
      <x:c r="C318" s="85" t="n">
        <x:v>0.5388888888888889</x:v>
      </x:c>
      <x:c r="D318" s="85" t="n">
        <x:v>0.6729166666666667</x:v>
      </x:c>
      <x:c r="E318" s="85" t="n">
        <x:v>0.7159722222222222</x:v>
      </x:c>
      <x:c r="F318" s="85" t="n">
        <x:v>0.8888888888888888</x:v>
      </x:c>
      <x:c r="G318" t="str">
        <x:f>TEXT(INT(K318/60),"00")&amp;":"&amp;TEXT(MOD(K318,60),"00")</x:f>
        <x:v>07:22</x:v>
      </x:c>
      <x:c r="H318" t="str">
        <x:f>TEXT(INT(L318/60),"00")&amp;":"&amp;TEXT(MOD(L318,60),"00")</x:f>
        <x:v>07:20</x:v>
      </x:c>
      <x:c r="I318" t="str">
        <x:f>IF(N318&gt;0,"+"&amp;TEXT(INT(N318/60),"00")&amp;":"&amp;TEXT(MOD(N318,60),"00"),"00:00")</x:f>
        <x:v>+00:02</x:v>
      </x:c>
      <x:c r="J318" t="str">
        <x:f>IF(O318&gt;0,"-"&amp;TEXT(INT(O318/60),"00")&amp;":"&amp;TEXT(MOD(O318,60),"00"),"00:00")</x:f>
        <x:v>00:00</x:v>
      </x:c>
      <x:c r="K318" t="n">
        <x:f>ROUND((F318-C318-IF(OR(D318="",E318=""),0,E318-D318))*1440,0)</x:f>
        <x:v>442</x:v>
      </x:c>
      <x:c r="L318" t="n">
        <x:v>440</x:v>
      </x:c>
      <x:c r="M318" t="n">
        <x:f>K318-L318</x:f>
        <x:v>2</x:v>
      </x:c>
      <x:c r="N318" t="n">
        <x:f>MAX(0,M318)</x:f>
        <x:v>2</x:v>
      </x:c>
      <x:c r="O318" t="n">
        <x:f>MAX(0,-M318)</x:f>
        <x:v>0</x:v>
      </x:c>
      <x:c r="P318" t="str">
        <x:v>Ponto registrado — complemento ilustrativo</x:v>
      </x:c>
      <x:c r="Q318" t="str">
        <x:v>Saída da CONFERÊNCIA DE CAIXA; entrada/intervalo simulados</x:v>
      </x:c>
      <x:c r="R318" t="str">
        <x:v>2026-03</x:v>
      </x:c>
    </x:row>
    <x:row r="319" ht="21" customHeight="1">
      <x:c r="A319" s="83" t="n">
        <x:v>46085</x:v>
      </x:c>
      <x:c r="B319" t="str">
        <x:v>quarta-feira</x:v>
      </x:c>
      <x:c r="C319" s="85" t="n">
        <x:v>0.5444444444444444</x:v>
      </x:c>
      <x:c r="D319" s="85" t="n">
        <x:v>0.6791666666666667</x:v>
      </x:c>
      <x:c r="E319" s="85" t="n">
        <x:v>0.71875</x:v>
      </x:c>
      <x:c r="F319" s="85" t="n">
        <x:v>0.8902777777777777</x:v>
      </x:c>
      <x:c r="G319" t="str">
        <x:f>TEXT(INT(K319/60),"00")&amp;":"&amp;TEXT(MOD(K319,60),"00")</x:f>
        <x:v>07:21</x:v>
      </x:c>
      <x:c r="H319" t="str">
        <x:f>TEXT(INT(L319/60),"00")&amp;":"&amp;TEXT(MOD(L319,60),"00")</x:f>
        <x:v>07:20</x:v>
      </x:c>
      <x:c r="I319" t="str">
        <x:f>IF(N319&gt;0,"+"&amp;TEXT(INT(N319/60),"00")&amp;":"&amp;TEXT(MOD(N319,60),"00"),"00:00")</x:f>
        <x:v>+00:01</x:v>
      </x:c>
      <x:c r="J319" t="str">
        <x:f>IF(O319&gt;0,"-"&amp;TEXT(INT(O319/60),"00")&amp;":"&amp;TEXT(MOD(O319,60),"00"),"00:00")</x:f>
        <x:v>00:00</x:v>
      </x:c>
      <x:c r="K319" t="n">
        <x:f>ROUND((F319-C319-IF(OR(D319="",E319=""),0,E319-D319))*1440,0)</x:f>
        <x:v>441</x:v>
      </x:c>
      <x:c r="L319" t="n">
        <x:v>440</x:v>
      </x:c>
      <x:c r="M319" t="n">
        <x:f>K319-L319</x:f>
        <x:v>1</x:v>
      </x:c>
      <x:c r="N319" t="n">
        <x:f>MAX(0,M319)</x:f>
        <x:v>1</x:v>
      </x:c>
      <x:c r="O319" t="n">
        <x:f>MAX(0,-M319)</x:f>
        <x:v>0</x:v>
      </x:c>
      <x:c r="P319" t="str">
        <x:v>Ponto registrado — complemento ilustrativo</x:v>
      </x:c>
      <x:c r="Q319" t="str">
        <x:v>Saída da CONFERÊNCIA DE CAIXA; entrada/intervalo simulados</x:v>
      </x:c>
      <x:c r="R319" t="str">
        <x:v>2026-03</x:v>
      </x:c>
    </x:row>
    <x:row r="320" ht="21" customHeight="1">
      <x:c r="A320" s="83" t="n">
        <x:v>46086</x:v>
      </x:c>
      <x:c r="B320" t="str">
        <x:v>quinta-feira</x:v>
      </x:c>
      <x:c r="C320" s="85" t="n">
        <x:v>0.5458333333333333</x:v>
      </x:c>
      <x:c r="D320" s="85" t="n">
        <x:v>0.6673611111111111</x:v>
      </x:c>
      <x:c r="E320" s="85" t="n">
        <x:v>0.70625</x:v>
      </x:c>
      <x:c r="F320" s="85" t="n">
        <x:v>0.8868055555555555</x:v>
      </x:c>
      <x:c r="G320" t="str">
        <x:f>TEXT(INT(K320/60),"00")&amp;":"&amp;TEXT(MOD(K320,60),"00")</x:f>
        <x:v>07:15</x:v>
      </x:c>
      <x:c r="H320" t="str">
        <x:f>TEXT(INT(L320/60),"00")&amp;":"&amp;TEXT(MOD(L320,60),"00")</x:f>
        <x:v>07:20</x:v>
      </x:c>
      <x:c r="I320" t="str">
        <x:f>IF(N320&gt;0,"+"&amp;TEXT(INT(N320/60),"00")&amp;":"&amp;TEXT(MOD(N320,60),"00"),"00:00")</x:f>
        <x:v>00:00</x:v>
      </x:c>
      <x:c r="J320" t="str">
        <x:f>IF(O320&gt;0,"-"&amp;TEXT(INT(O320/60),"00")&amp;":"&amp;TEXT(MOD(O320,60),"00"),"00:00")</x:f>
        <x:v>-00:05</x:v>
      </x:c>
      <x:c r="K320" t="n">
        <x:f>ROUND((F320-C320-IF(OR(D320="",E320=""),0,E320-D320))*1440,0)</x:f>
        <x:v>435</x:v>
      </x:c>
      <x:c r="L320" t="n">
        <x:v>440</x:v>
      </x:c>
      <x:c r="M320" t="n">
        <x:f>K320-L320</x:f>
        <x:v>-5</x:v>
      </x:c>
      <x:c r="N320" t="n">
        <x:f>MAX(0,M320)</x:f>
        <x:v>0</x:v>
      </x:c>
      <x:c r="O320" t="n">
        <x:f>MAX(0,-M320)</x:f>
        <x:v>5</x:v>
      </x:c>
      <x:c r="P320" t="str">
        <x:v>Ponto registrado — complemento ilustrativo</x:v>
      </x:c>
      <x:c r="Q320" t="str">
        <x:v>Saída da CONFERÊNCIA DE CAIXA; entrada/intervalo simulados</x:v>
      </x:c>
      <x:c r="R320" t="str">
        <x:v>2026-03</x:v>
      </x:c>
    </x:row>
    <x:row r="321" ht="21" customHeight="1">
      <x:c r="A321" s="83" t="n">
        <x:v>46087</x:v>
      </x:c>
      <x:c r="B321" t="str">
        <x:v>sexta-feira</x:v>
      </x:c>
      <x:c r="C321" s="85" t="n">
        <x:v>0.5375</x:v>
      </x:c>
      <x:c r="D321" s="85" t="n">
        <x:v>0.6701388888888888</x:v>
      </x:c>
      <x:c r="E321" s="85" t="n">
        <x:v>0.7090277777777778</x:v>
      </x:c>
      <x:c r="F321" s="85" t="n">
        <x:v>0.8833333333333333</x:v>
      </x:c>
      <x:c r="G321" t="str">
        <x:f>TEXT(INT(K321/60),"00")&amp;":"&amp;TEXT(MOD(K321,60),"00")</x:f>
        <x:v>07:22</x:v>
      </x:c>
      <x:c r="H321" t="str">
        <x:f>TEXT(INT(L321/60),"00")&amp;":"&amp;TEXT(MOD(L321,60),"00")</x:f>
        <x:v>07:20</x:v>
      </x:c>
      <x:c r="I321" t="str">
        <x:f>IF(N321&gt;0,"+"&amp;TEXT(INT(N321/60),"00")&amp;":"&amp;TEXT(MOD(N321,60),"00"),"00:00")</x:f>
        <x:v>+00:02</x:v>
      </x:c>
      <x:c r="J321" t="str">
        <x:f>IF(O321&gt;0,"-"&amp;TEXT(INT(O321/60),"00")&amp;":"&amp;TEXT(MOD(O321,60),"00"),"00:00")</x:f>
        <x:v>00:00</x:v>
      </x:c>
      <x:c r="K321" t="n">
        <x:f>ROUND((F321-C321-IF(OR(D321="",E321=""),0,E321-D321))*1440,0)</x:f>
        <x:v>442</x:v>
      </x:c>
      <x:c r="L321" t="n">
        <x:v>440</x:v>
      </x:c>
      <x:c r="M321" t="n">
        <x:f>K321-L321</x:f>
        <x:v>2</x:v>
      </x:c>
      <x:c r="N321" t="n">
        <x:f>MAX(0,M321)</x:f>
        <x:v>2</x:v>
      </x:c>
      <x:c r="O321" t="n">
        <x:f>MAX(0,-M321)</x:f>
        <x:v>0</x:v>
      </x:c>
      <x:c r="P321" t="str">
        <x:v>Ponto registrado — complemento ilustrativo</x:v>
      </x:c>
      <x:c r="Q321" t="str">
        <x:v>Saída da CONFERÊNCIA DE CAIXA; entrada/intervalo simulados</x:v>
      </x:c>
      <x:c r="R321" t="str">
        <x:v>2026-03</x:v>
      </x:c>
    </x:row>
    <x:row r="322" ht="21" customHeight="1">
      <x:c r="A322" s="83" t="n">
        <x:v>46088</x:v>
      </x:c>
      <x:c r="B322" t="str">
        <x:v>sábado</x:v>
      </x:c>
      <x:c r="C322" s="85" t="n">
        <x:v>0.5451388888888888</x:v>
      </x:c>
      <x:c r="D322" s="85"/>
      <x:c r="E322" s="85"/>
      <x:c r="F322" s="85" t="n">
        <x:v>0.7048611111111112</x:v>
      </x:c>
      <x:c r="G322" t="str">
        <x:f>TEXT(INT(K322/60),"00")&amp;":"&amp;TEXT(MOD(K322,60),"00")</x:f>
        <x:v>03:50</x:v>
      </x:c>
      <x:c r="H322" t="str">
        <x:f>TEXT(INT(L322/60),"00")&amp;":"&amp;TEXT(MOD(L322,60),"00")</x:f>
        <x:v>04:00</x:v>
      </x:c>
      <x:c r="I322" t="str">
        <x:f>IF(N322&gt;0,"+"&amp;TEXT(INT(N322/60),"00")&amp;":"&amp;TEXT(MOD(N322,60),"00"),"00:00")</x:f>
        <x:v>00:00</x:v>
      </x:c>
      <x:c r="J322" t="str">
        <x:f>IF(O322&gt;0,"-"&amp;TEXT(INT(O322/60),"00")&amp;":"&amp;TEXT(MOD(O322,60),"00"),"00:00")</x:f>
        <x:v>-00:10</x:v>
      </x:c>
      <x:c r="K322" t="n">
        <x:f>ROUND((F322-C322-IF(OR(D322="",E322=""),0,E322-D322))*1440,0)</x:f>
        <x:v>230</x:v>
      </x:c>
      <x:c r="L322" t="n">
        <x:v>240</x:v>
      </x:c>
      <x:c r="M322" t="n">
        <x:f>K322-L322</x:f>
        <x:v>-10</x:v>
      </x:c>
      <x:c r="N322" t="n">
        <x:f>MAX(0,M322)</x:f>
        <x:v>0</x:v>
      </x:c>
      <x:c r="O322" t="n">
        <x:f>MAX(0,-M322)</x:f>
        <x:v>10</x:v>
      </x:c>
      <x:c r="P322" t="str">
        <x:v>Ponto registrado — complemento ilustrativo</x:v>
      </x:c>
      <x:c r="Q322" t="str">
        <x:v>Saída da CONFERÊNCIA DE CAIXA; entrada/intervalo simulados</x:v>
      </x:c>
      <x:c r="R322" t="str">
        <x:v>2026-03</x:v>
      </x:c>
    </x:row>
    <x:row r="323" ht="21" customHeight="1">
      <x:c r="A323" s="83" t="n">
        <x:v>46090</x:v>
      </x:c>
      <x:c r="B323" t="str">
        <x:v>segunda-feira</x:v>
      </x:c>
      <x:c r="C323" s="85" t="n">
        <x:v>0.5458333333333333</x:v>
      </x:c>
      <x:c r="D323" s="85" t="n">
        <x:v>0.6743055555555556</x:v>
      </x:c>
      <x:c r="E323" s="85" t="n">
        <x:v>0.71875</x:v>
      </x:c>
      <x:c r="F323" s="85" t="n">
        <x:v>0.8805555555555555</x:v>
      </x:c>
      <x:c r="G323" t="str">
        <x:f>TEXT(INT(K323/60),"00")&amp;":"&amp;TEXT(MOD(K323,60),"00")</x:f>
        <x:v>06:58</x:v>
      </x:c>
      <x:c r="H323" t="str">
        <x:f>TEXT(INT(L323/60),"00")&amp;":"&amp;TEXT(MOD(L323,60),"00")</x:f>
        <x:v>07:20</x:v>
      </x:c>
      <x:c r="I323" t="str">
        <x:f>IF(N323&gt;0,"+"&amp;TEXT(INT(N323/60),"00")&amp;":"&amp;TEXT(MOD(N323,60),"00"),"00:00")</x:f>
        <x:v>00:00</x:v>
      </x:c>
      <x:c r="J323" t="str">
        <x:f>IF(O323&gt;0,"-"&amp;TEXT(INT(O323/60),"00")&amp;":"&amp;TEXT(MOD(O323,60),"00"),"00:00")</x:f>
        <x:v>-00:22</x:v>
      </x:c>
      <x:c r="K323" t="n">
        <x:f>ROUND((F323-C323-IF(OR(D323="",E323=""),0,E323-D323))*1440,0)</x:f>
        <x:v>418</x:v>
      </x:c>
      <x:c r="L323" t="n">
        <x:v>440</x:v>
      </x:c>
      <x:c r="M323" t="n">
        <x:f>K323-L323</x:f>
        <x:v>-22</x:v>
      </x:c>
      <x:c r="N323" t="n">
        <x:f>MAX(0,M323)</x:f>
        <x:v>0</x:v>
      </x:c>
      <x:c r="O323" t="n">
        <x:f>MAX(0,-M323)</x:f>
        <x:v>22</x:v>
      </x:c>
      <x:c r="P323" t="str">
        <x:v>Ponto registrado — complemento ilustrativo</x:v>
      </x:c>
      <x:c r="Q323" t="str">
        <x:v>Saída da CONFERÊNCIA DE CAIXA; entrada/intervalo simulados</x:v>
      </x:c>
      <x:c r="R323" t="str">
        <x:v>2026-03</x:v>
      </x:c>
    </x:row>
    <x:row r="324" ht="21" customHeight="1">
      <x:c r="A324" s="83" t="n">
        <x:v>46091</x:v>
      </x:c>
      <x:c r="B324" t="str">
        <x:v>terça-feira</x:v>
      </x:c>
      <x:c r="C324" s="85" t="n">
        <x:v>0.5388888888888889</x:v>
      </x:c>
      <x:c r="D324" s="85" t="n">
        <x:v>0.66875</x:v>
      </x:c>
      <x:c r="E324" s="85" t="n">
        <x:v>0.7097222222222223</x:v>
      </x:c>
      <x:c r="F324" s="85" t="n">
        <x:v>0.8881944444444444</x:v>
      </x:c>
      <x:c r="G324" t="str">
        <x:f>TEXT(INT(K324/60),"00")&amp;":"&amp;TEXT(MOD(K324,60),"00")</x:f>
        <x:v>07:24</x:v>
      </x:c>
      <x:c r="H324" t="str">
        <x:f>TEXT(INT(L324/60),"00")&amp;":"&amp;TEXT(MOD(L324,60),"00")</x:f>
        <x:v>07:20</x:v>
      </x:c>
      <x:c r="I324" t="str">
        <x:f>IF(N324&gt;0,"+"&amp;TEXT(INT(N324/60),"00")&amp;":"&amp;TEXT(MOD(N324,60),"00"),"00:00")</x:f>
        <x:v>+00:04</x:v>
      </x:c>
      <x:c r="J324" t="str">
        <x:f>IF(O324&gt;0,"-"&amp;TEXT(INT(O324/60),"00")&amp;":"&amp;TEXT(MOD(O324,60),"00"),"00:00")</x:f>
        <x:v>00:00</x:v>
      </x:c>
      <x:c r="K324" t="n">
        <x:f>ROUND((F324-C324-IF(OR(D324="",E324=""),0,E324-D324))*1440,0)</x:f>
        <x:v>444</x:v>
      </x:c>
      <x:c r="L324" t="n">
        <x:v>440</x:v>
      </x:c>
      <x:c r="M324" t="n">
        <x:f>K324-L324</x:f>
        <x:v>4</x:v>
      </x:c>
      <x:c r="N324" t="n">
        <x:f>MAX(0,M324)</x:f>
        <x:v>4</x:v>
      </x:c>
      <x:c r="O324" t="n">
        <x:f>MAX(0,-M324)</x:f>
        <x:v>0</x:v>
      </x:c>
      <x:c r="P324" t="str">
        <x:v>Ponto registrado — complemento ilustrativo</x:v>
      </x:c>
      <x:c r="Q324" t="str">
        <x:v>Saída da CONFERÊNCIA DE CAIXA; entrada/intervalo simulados</x:v>
      </x:c>
      <x:c r="R324" t="str">
        <x:v>2026-03</x:v>
      </x:c>
    </x:row>
    <x:row r="325" ht="21" customHeight="1">
      <x:c r="A325" s="83" t="n">
        <x:v>46092</x:v>
      </x:c>
      <x:c r="B325" t="str">
        <x:v>quarta-feira</x:v>
      </x:c>
      <x:c r="C325" s="85" t="n">
        <x:v>0.5416666666666666</x:v>
      </x:c>
      <x:c r="D325" s="85" t="n">
        <x:v>0.6743055555555556</x:v>
      </x:c>
      <x:c r="E325" s="85" t="n">
        <x:v>0.7166666666666667</x:v>
      </x:c>
      <x:c r="F325" s="85" t="n">
        <x:v>0.8902777777777777</x:v>
      </x:c>
      <x:c r="G325" t="str">
        <x:f>TEXT(INT(K325/60),"00")&amp;":"&amp;TEXT(MOD(K325,60),"00")</x:f>
        <x:v>07:21</x:v>
      </x:c>
      <x:c r="H325" t="str">
        <x:f>TEXT(INT(L325/60),"00")&amp;":"&amp;TEXT(MOD(L325,60),"00")</x:f>
        <x:v>07:20</x:v>
      </x:c>
      <x:c r="I325" t="str">
        <x:f>IF(N325&gt;0,"+"&amp;TEXT(INT(N325/60),"00")&amp;":"&amp;TEXT(MOD(N325,60),"00"),"00:00")</x:f>
        <x:v>+00:01</x:v>
      </x:c>
      <x:c r="J325" t="str">
        <x:f>IF(O325&gt;0,"-"&amp;TEXT(INT(O325/60),"00")&amp;":"&amp;TEXT(MOD(O325,60),"00"),"00:00")</x:f>
        <x:v>00:00</x:v>
      </x:c>
      <x:c r="K325" t="n">
        <x:f>ROUND((F325-C325-IF(OR(D325="",E325=""),0,E325-D325))*1440,0)</x:f>
        <x:v>441</x:v>
      </x:c>
      <x:c r="L325" t="n">
        <x:v>440</x:v>
      </x:c>
      <x:c r="M325" t="n">
        <x:f>K325-L325</x:f>
        <x:v>1</x:v>
      </x:c>
      <x:c r="N325" t="n">
        <x:f>MAX(0,M325)</x:f>
        <x:v>1</x:v>
      </x:c>
      <x:c r="O325" t="n">
        <x:f>MAX(0,-M325)</x:f>
        <x:v>0</x:v>
      </x:c>
      <x:c r="P325" t="str">
        <x:v>Ponto registrado — complemento ilustrativo</x:v>
      </x:c>
      <x:c r="Q325" t="str">
        <x:v>Saída da CONFERÊNCIA DE CAIXA; entrada/intervalo simulados</x:v>
      </x:c>
      <x:c r="R325" t="str">
        <x:v>2026-03</x:v>
      </x:c>
    </x:row>
    <x:row r="326" ht="21" customHeight="1">
      <x:c r="A326" s="83" t="n">
        <x:v>46093</x:v>
      </x:c>
      <x:c r="B326" t="str">
        <x:v>quinta-feira</x:v>
      </x:c>
      <x:c r="C326" s="85" t="n">
        <x:v>0.5375</x:v>
      </x:c>
      <x:c r="D326" s="85" t="n">
        <x:v>0.6701388888888888</x:v>
      </x:c>
      <x:c r="E326" s="85" t="n">
        <x:v>0.7131944444444445</x:v>
      </x:c>
      <x:c r="F326" s="85" t="n">
        <x:v>0.8895833333333333</x:v>
      </x:c>
      <x:c r="G326" t="str">
        <x:f>TEXT(INT(K326/60),"00")&amp;":"&amp;TEXT(MOD(K326,60),"00")</x:f>
        <x:v>07:25</x:v>
      </x:c>
      <x:c r="H326" t="str">
        <x:f>TEXT(INT(L326/60),"00")&amp;":"&amp;TEXT(MOD(L326,60),"00")</x:f>
        <x:v>07:20</x:v>
      </x:c>
      <x:c r="I326" t="str">
        <x:f>IF(N326&gt;0,"+"&amp;TEXT(INT(N326/60),"00")&amp;":"&amp;TEXT(MOD(N326,60),"00"),"00:00")</x:f>
        <x:v>+00:05</x:v>
      </x:c>
      <x:c r="J326" t="str">
        <x:f>IF(O326&gt;0,"-"&amp;TEXT(INT(O326/60),"00")&amp;":"&amp;TEXT(MOD(O326,60),"00"),"00:00")</x:f>
        <x:v>00:00</x:v>
      </x:c>
      <x:c r="K326" t="n">
        <x:f>ROUND((F326-C326-IF(OR(D326="",E326=""),0,E326-D326))*1440,0)</x:f>
        <x:v>445</x:v>
      </x:c>
      <x:c r="L326" t="n">
        <x:v>440</x:v>
      </x:c>
      <x:c r="M326" t="n">
        <x:f>K326-L326</x:f>
        <x:v>5</x:v>
      </x:c>
      <x:c r="N326" t="n">
        <x:f>MAX(0,M326)</x:f>
        <x:v>5</x:v>
      </x:c>
      <x:c r="O326" t="n">
        <x:f>MAX(0,-M326)</x:f>
        <x:v>0</x:v>
      </x:c>
      <x:c r="P326" t="str">
        <x:v>Ponto registrado — complemento ilustrativo</x:v>
      </x:c>
      <x:c r="Q326" t="str">
        <x:v>Saída da CONFERÊNCIA DE CAIXA; entrada/intervalo simulados</x:v>
      </x:c>
      <x:c r="R326" t="str">
        <x:v>2026-03</x:v>
      </x:c>
    </x:row>
    <x:row r="327" ht="21" customHeight="1">
      <x:c r="A327" s="83" t="n">
        <x:v>46094</x:v>
      </x:c>
      <x:c r="B327" t="str">
        <x:v>sexta-feira</x:v>
      </x:c>
      <x:c r="C327" s="85" t="n">
        <x:v>0.5458333333333333</x:v>
      </x:c>
      <x:c r="D327" s="85" t="n">
        <x:v>0.6701388888888888</x:v>
      </x:c>
      <x:c r="E327" s="85" t="n">
        <x:v>0.7104166666666667</x:v>
      </x:c>
      <x:c r="F327" s="85" t="n">
        <x:v>0.8861111111111111</x:v>
      </x:c>
      <x:c r="G327" t="str">
        <x:f>TEXT(INT(K327/60),"00")&amp;":"&amp;TEXT(MOD(K327,60),"00")</x:f>
        <x:v>07:12</x:v>
      </x:c>
      <x:c r="H327" t="str">
        <x:f>TEXT(INT(L327/60),"00")&amp;":"&amp;TEXT(MOD(L327,60),"00")</x:f>
        <x:v>07:20</x:v>
      </x:c>
      <x:c r="I327" t="str">
        <x:f>IF(N327&gt;0,"+"&amp;TEXT(INT(N327/60),"00")&amp;":"&amp;TEXT(MOD(N327,60),"00"),"00:00")</x:f>
        <x:v>00:00</x:v>
      </x:c>
      <x:c r="J327" t="str">
        <x:f>IF(O327&gt;0,"-"&amp;TEXT(INT(O327/60),"00")&amp;":"&amp;TEXT(MOD(O327,60),"00"),"00:00")</x:f>
        <x:v>-00:08</x:v>
      </x:c>
      <x:c r="K327" t="n">
        <x:f>ROUND((F327-C327-IF(OR(D327="",E327=""),0,E327-D327))*1440,0)</x:f>
        <x:v>432</x:v>
      </x:c>
      <x:c r="L327" t="n">
        <x:v>440</x:v>
      </x:c>
      <x:c r="M327" t="n">
        <x:f>K327-L327</x:f>
        <x:v>-8</x:v>
      </x:c>
      <x:c r="N327" t="n">
        <x:f>MAX(0,M327)</x:f>
        <x:v>0</x:v>
      </x:c>
      <x:c r="O327" t="n">
        <x:f>MAX(0,-M327)</x:f>
        <x:v>8</x:v>
      </x:c>
      <x:c r="P327" t="str">
        <x:v>Ponto registrado — complemento ilustrativo</x:v>
      </x:c>
      <x:c r="Q327" t="str">
        <x:v>Saída da CONFERÊNCIA DE CAIXA; entrada/intervalo simulados</x:v>
      </x:c>
      <x:c r="R327" t="str">
        <x:v>2026-03</x:v>
      </x:c>
    </x:row>
    <x:row r="328" ht="21" customHeight="1">
      <x:c r="A328" s="83" t="n">
        <x:v>46095</x:v>
      </x:c>
      <x:c r="B328" t="str">
        <x:v>sábado</x:v>
      </x:c>
      <x:c r="C328" s="85" t="n">
        <x:v>0.5409722222222222</x:v>
      </x:c>
      <x:c r="D328" s="85"/>
      <x:c r="E328" s="85"/>
      <x:c r="F328" s="85" t="n">
        <x:v>0.70625</x:v>
      </x:c>
      <x:c r="G328" t="str">
        <x:f>TEXT(INT(K328/60),"00")&amp;":"&amp;TEXT(MOD(K328,60),"00")</x:f>
        <x:v>03:58</x:v>
      </x:c>
      <x:c r="H328" t="str">
        <x:f>TEXT(INT(L328/60),"00")&amp;":"&amp;TEXT(MOD(L328,60),"00")</x:f>
        <x:v>04:00</x:v>
      </x:c>
      <x:c r="I328" t="str">
        <x:f>IF(N328&gt;0,"+"&amp;TEXT(INT(N328/60),"00")&amp;":"&amp;TEXT(MOD(N328,60),"00"),"00:00")</x:f>
        <x:v>00:00</x:v>
      </x:c>
      <x:c r="J328" t="str">
        <x:f>IF(O328&gt;0,"-"&amp;TEXT(INT(O328/60),"00")&amp;":"&amp;TEXT(MOD(O328,60),"00"),"00:00")</x:f>
        <x:v>-00:02</x:v>
      </x:c>
      <x:c r="K328" t="n">
        <x:f>ROUND((F328-C328-IF(OR(D328="",E328=""),0,E328-D328))*1440,0)</x:f>
        <x:v>238</x:v>
      </x:c>
      <x:c r="L328" t="n">
        <x:v>240</x:v>
      </x:c>
      <x:c r="M328" t="n">
        <x:f>K328-L328</x:f>
        <x:v>-2</x:v>
      </x:c>
      <x:c r="N328" t="n">
        <x:f>MAX(0,M328)</x:f>
        <x:v>0</x:v>
      </x:c>
      <x:c r="O328" t="n">
        <x:f>MAX(0,-M328)</x:f>
        <x:v>2</x:v>
      </x:c>
      <x:c r="P328" t="str">
        <x:v>Ponto registrado — complemento ilustrativo</x:v>
      </x:c>
      <x:c r="Q328" t="str">
        <x:v>Saída da CONFERÊNCIA DE CAIXA; entrada/intervalo simulados</x:v>
      </x:c>
      <x:c r="R328" t="str">
        <x:v>2026-03</x:v>
      </x:c>
    </x:row>
    <x:row r="329" ht="21" customHeight="1">
      <x:c r="A329" s="83" t="n">
        <x:v>46097</x:v>
      </x:c>
      <x:c r="B329" t="str">
        <x:v>segunda-feira</x:v>
      </x:c>
      <x:c r="C329" s="85" t="n">
        <x:v>0.5395833333333333</x:v>
      </x:c>
      <x:c r="D329" s="85" t="n">
        <x:v>0.6763888888888889</x:v>
      </x:c>
      <x:c r="E329" s="85" t="n">
        <x:v>0.7159722222222222</x:v>
      </x:c>
      <x:c r="F329" s="85" t="n">
        <x:v>0.88125</x:v>
      </x:c>
      <x:c r="G329" t="str">
        <x:f>TEXT(INT(K329/60),"00")&amp;":"&amp;TEXT(MOD(K329,60),"00")</x:f>
        <x:v>07:15</x:v>
      </x:c>
      <x:c r="H329" t="str">
        <x:f>TEXT(INT(L329/60),"00")&amp;":"&amp;TEXT(MOD(L329,60),"00")</x:f>
        <x:v>07:20</x:v>
      </x:c>
      <x:c r="I329" t="str">
        <x:f>IF(N329&gt;0,"+"&amp;TEXT(INT(N329/60),"00")&amp;":"&amp;TEXT(MOD(N329,60),"00"),"00:00")</x:f>
        <x:v>00:00</x:v>
      </x:c>
      <x:c r="J329" t="str">
        <x:f>IF(O329&gt;0,"-"&amp;TEXT(INT(O329/60),"00")&amp;":"&amp;TEXT(MOD(O329,60),"00"),"00:00")</x:f>
        <x:v>-00:05</x:v>
      </x:c>
      <x:c r="K329" t="n">
        <x:f>ROUND((F329-C329-IF(OR(D329="",E329=""),0,E329-D329))*1440,0)</x:f>
        <x:v>435</x:v>
      </x:c>
      <x:c r="L329" t="n">
        <x:v>440</x:v>
      </x:c>
      <x:c r="M329" t="n">
        <x:f>K329-L329</x:f>
        <x:v>-5</x:v>
      </x:c>
      <x:c r="N329" t="n">
        <x:f>MAX(0,M329)</x:f>
        <x:v>0</x:v>
      </x:c>
      <x:c r="O329" t="n">
        <x:f>MAX(0,-M329)</x:f>
        <x:v>5</x:v>
      </x:c>
      <x:c r="P329" t="str">
        <x:v>Ponto registrado — complemento ilustrativo</x:v>
      </x:c>
      <x:c r="Q329" t="str">
        <x:v>Saída da CONFERÊNCIA DE CAIXA; entrada/intervalo simulados</x:v>
      </x:c>
      <x:c r="R329" t="str">
        <x:v>2026-03</x:v>
      </x:c>
    </x:row>
    <x:row r="330" ht="21" customHeight="1">
      <x:c r="A330" s="83" t="n">
        <x:v>46098</x:v>
      </x:c>
      <x:c r="B330" t="str">
        <x:v>terça-feira</x:v>
      </x:c>
      <x:c r="C330" s="85" t="n">
        <x:v>0.5375</x:v>
      </x:c>
      <x:c r="D330" s="85" t="n">
        <x:v>0.68125</x:v>
      </x:c>
      <x:c r="E330" s="85" t="n">
        <x:v>0.7208333333333333</x:v>
      </x:c>
      <x:c r="F330" s="85" t="n">
        <x:v>0.8895833333333333</x:v>
      </x:c>
      <x:c r="G330" t="str">
        <x:f>TEXT(INT(K330/60),"00")&amp;":"&amp;TEXT(MOD(K330,60),"00")</x:f>
        <x:v>07:30</x:v>
      </x:c>
      <x:c r="H330" t="str">
        <x:f>TEXT(INT(L330/60),"00")&amp;":"&amp;TEXT(MOD(L330,60),"00")</x:f>
        <x:v>07:20</x:v>
      </x:c>
      <x:c r="I330" t="str">
        <x:f>IF(N330&gt;0,"+"&amp;TEXT(INT(N330/60),"00")&amp;":"&amp;TEXT(MOD(N330,60),"00"),"00:00")</x:f>
        <x:v>+00:10</x:v>
      </x:c>
      <x:c r="J330" t="str">
        <x:f>IF(O330&gt;0,"-"&amp;TEXT(INT(O330/60),"00")&amp;":"&amp;TEXT(MOD(O330,60),"00"),"00:00")</x:f>
        <x:v>00:00</x:v>
      </x:c>
      <x:c r="K330" t="n">
        <x:f>ROUND((F330-C330-IF(OR(D330="",E330=""),0,E330-D330))*1440,0)</x:f>
        <x:v>450</x:v>
      </x:c>
      <x:c r="L330" t="n">
        <x:v>440</x:v>
      </x:c>
      <x:c r="M330" t="n">
        <x:f>K330-L330</x:f>
        <x:v>10</x:v>
      </x:c>
      <x:c r="N330" t="n">
        <x:f>MAX(0,M330)</x:f>
        <x:v>10</x:v>
      </x:c>
      <x:c r="O330" t="n">
        <x:f>MAX(0,-M330)</x:f>
        <x:v>0</x:v>
      </x:c>
      <x:c r="P330" t="str">
        <x:v>Ponto registrado — complemento ilustrativo</x:v>
      </x:c>
      <x:c r="Q330" t="str">
        <x:v>Saída da CONFERÊNCIA DE CAIXA; entrada/intervalo simulados</x:v>
      </x:c>
      <x:c r="R330" t="str">
        <x:v>2026-03</x:v>
      </x:c>
    </x:row>
    <x:row r="331" ht="21" customHeight="1">
      <x:c r="A331" s="83" t="n">
        <x:v>46099</x:v>
      </x:c>
      <x:c r="B331" t="str">
        <x:v>quarta-feira</x:v>
      </x:c>
      <x:c r="C331" s="85" t="n">
        <x:v>0.54375</x:v>
      </x:c>
      <x:c r="D331" s="85" t="n">
        <x:v>0.6736111111111112</x:v>
      </x:c>
      <x:c r="E331" s="85" t="n">
        <x:v>0.7145833333333333</x:v>
      </x:c>
      <x:c r="F331" s="85" t="n">
        <x:v>0.8875</x:v>
      </x:c>
      <x:c r="G331" t="str">
        <x:f>TEXT(INT(K331/60),"00")&amp;":"&amp;TEXT(MOD(K331,60),"00")</x:f>
        <x:v>07:16</x:v>
      </x:c>
      <x:c r="H331" t="str">
        <x:f>TEXT(INT(L331/60),"00")&amp;":"&amp;TEXT(MOD(L331,60),"00")</x:f>
        <x:v>07:20</x:v>
      </x:c>
      <x:c r="I331" t="str">
        <x:f>IF(N331&gt;0,"+"&amp;TEXT(INT(N331/60),"00")&amp;":"&amp;TEXT(MOD(N331,60),"00"),"00:00")</x:f>
        <x:v>00:00</x:v>
      </x:c>
      <x:c r="J331" t="str">
        <x:f>IF(O331&gt;0,"-"&amp;TEXT(INT(O331/60),"00")&amp;":"&amp;TEXT(MOD(O331,60),"00"),"00:00")</x:f>
        <x:v>-00:04</x:v>
      </x:c>
      <x:c r="K331" t="n">
        <x:f>ROUND((F331-C331-IF(OR(D331="",E331=""),0,E331-D331))*1440,0)</x:f>
        <x:v>436</x:v>
      </x:c>
      <x:c r="L331" t="n">
        <x:v>440</x:v>
      </x:c>
      <x:c r="M331" t="n">
        <x:f>K331-L331</x:f>
        <x:v>-4</x:v>
      </x:c>
      <x:c r="N331" t="n">
        <x:f>MAX(0,M331)</x:f>
        <x:v>0</x:v>
      </x:c>
      <x:c r="O331" t="n">
        <x:f>MAX(0,-M331)</x:f>
        <x:v>4</x:v>
      </x:c>
      <x:c r="P331" t="str">
        <x:v>Ponto registrado — complemento ilustrativo</x:v>
      </x:c>
      <x:c r="Q331" t="str">
        <x:v>Saída da CONFERÊNCIA DE CAIXA; entrada/intervalo simulados</x:v>
      </x:c>
      <x:c r="R331" t="str">
        <x:v>2026-03</x:v>
      </x:c>
    </x:row>
    <x:row r="332" ht="21" customHeight="1">
      <x:c r="A332" s="83" t="n">
        <x:v>46100</x:v>
      </x:c>
      <x:c r="B332" t="str">
        <x:v>quinta-feira</x:v>
      </x:c>
      <x:c r="C332" s="85" t="n">
        <x:v>0.5465277777777777</x:v>
      </x:c>
      <x:c r="D332" s="85" t="n">
        <x:v>0.6784722222222223</x:v>
      </x:c>
      <x:c r="E332" s="85" t="n">
        <x:v>0.7201388888888889</x:v>
      </x:c>
      <x:c r="F332" s="85" t="n">
        <x:v>0.8902777777777777</x:v>
      </x:c>
      <x:c r="G332" t="str">
        <x:f>TEXT(INT(K332/60),"00")&amp;":"&amp;TEXT(MOD(K332,60),"00")</x:f>
        <x:v>07:15</x:v>
      </x:c>
      <x:c r="H332" t="str">
        <x:f>TEXT(INT(L332/60),"00")&amp;":"&amp;TEXT(MOD(L332,60),"00")</x:f>
        <x:v>07:20</x:v>
      </x:c>
      <x:c r="I332" t="str">
        <x:f>IF(N332&gt;0,"+"&amp;TEXT(INT(N332/60),"00")&amp;":"&amp;TEXT(MOD(N332,60),"00"),"00:00")</x:f>
        <x:v>00:00</x:v>
      </x:c>
      <x:c r="J332" t="str">
        <x:f>IF(O332&gt;0,"-"&amp;TEXT(INT(O332/60),"00")&amp;":"&amp;TEXT(MOD(O332,60),"00"),"00:00")</x:f>
        <x:v>-00:05</x:v>
      </x:c>
      <x:c r="K332" t="n">
        <x:f>ROUND((F332-C332-IF(OR(D332="",E332=""),0,E332-D332))*1440,0)</x:f>
        <x:v>435</x:v>
      </x:c>
      <x:c r="L332" t="n">
        <x:v>440</x:v>
      </x:c>
      <x:c r="M332" t="n">
        <x:f>K332-L332</x:f>
        <x:v>-5</x:v>
      </x:c>
      <x:c r="N332" t="n">
        <x:f>MAX(0,M332)</x:f>
        <x:v>0</x:v>
      </x:c>
      <x:c r="O332" t="n">
        <x:f>MAX(0,-M332)</x:f>
        <x:v>5</x:v>
      </x:c>
      <x:c r="P332" t="str">
        <x:v>Ponto registrado — complemento ilustrativo</x:v>
      </x:c>
      <x:c r="Q332" t="str">
        <x:v>Saída da CONFERÊNCIA DE CAIXA; entrada/intervalo simulados</x:v>
      </x:c>
      <x:c r="R332" t="str">
        <x:v>2026-03</x:v>
      </x:c>
    </x:row>
    <x:row r="333" ht="21" customHeight="1">
      <x:c r="A333" s="83" t="n">
        <x:v>46101</x:v>
      </x:c>
      <x:c r="B333" t="str">
        <x:v>sexta-feira</x:v>
      </x:c>
      <x:c r="C333" s="85" t="n">
        <x:v>0.5451388888888888</x:v>
      </x:c>
      <x:c r="D333" s="85" t="n">
        <x:v>0.68125</x:v>
      </x:c>
      <x:c r="E333" s="85" t="n">
        <x:v>0.7243055555555555</x:v>
      </x:c>
      <x:c r="F333" s="85" t="n">
        <x:v>0.8895833333333333</x:v>
      </x:c>
      <x:c r="G333" t="str">
        <x:f>TEXT(INT(K333/60),"00")&amp;":"&amp;TEXT(MOD(K333,60),"00")</x:f>
        <x:v>07:14</x:v>
      </x:c>
      <x:c r="H333" t="str">
        <x:f>TEXT(INT(L333/60),"00")&amp;":"&amp;TEXT(MOD(L333,60),"00")</x:f>
        <x:v>07:20</x:v>
      </x:c>
      <x:c r="I333" t="str">
        <x:f>IF(N333&gt;0,"+"&amp;TEXT(INT(N333/60),"00")&amp;":"&amp;TEXT(MOD(N333,60),"00"),"00:00")</x:f>
        <x:v>00:00</x:v>
      </x:c>
      <x:c r="J333" t="str">
        <x:f>IF(O333&gt;0,"-"&amp;TEXT(INT(O333/60),"00")&amp;":"&amp;TEXT(MOD(O333,60),"00"),"00:00")</x:f>
        <x:v>-00:06</x:v>
      </x:c>
      <x:c r="K333" t="n">
        <x:f>ROUND((F333-C333-IF(OR(D333="",E333=""),0,E333-D333))*1440,0)</x:f>
        <x:v>434</x:v>
      </x:c>
      <x:c r="L333" t="n">
        <x:v>440</x:v>
      </x:c>
      <x:c r="M333" t="n">
        <x:f>K333-L333</x:f>
        <x:v>-6</x:v>
      </x:c>
      <x:c r="N333" t="n">
        <x:f>MAX(0,M333)</x:f>
        <x:v>0</x:v>
      </x:c>
      <x:c r="O333" t="n">
        <x:f>MAX(0,-M333)</x:f>
        <x:v>6</x:v>
      </x:c>
      <x:c r="P333" t="str">
        <x:v>Ponto registrado — complemento ilustrativo</x:v>
      </x:c>
      <x:c r="Q333" t="str">
        <x:v>Saída da CONFERÊNCIA DE CAIXA; entrada/intervalo simulados</x:v>
      </x:c>
      <x:c r="R333" t="str">
        <x:v>2026-03</x:v>
      </x:c>
    </x:row>
    <x:row r="334" ht="21" customHeight="1">
      <x:c r="A334" s="83" t="n">
        <x:v>46102</x:v>
      </x:c>
      <x:c r="B334" t="str">
        <x:v>sábado</x:v>
      </x:c>
      <x:c r="C334" s="85" t="n">
        <x:v>0.5388888888888889</x:v>
      </x:c>
      <x:c r="D334" s="85"/>
      <x:c r="E334" s="85"/>
      <x:c r="F334" s="85" t="n">
        <x:v>0.7055555555555556</x:v>
      </x:c>
      <x:c r="G334" t="str">
        <x:f>TEXT(INT(K334/60),"00")&amp;":"&amp;TEXT(MOD(K334,60),"00")</x:f>
        <x:v>04:00</x:v>
      </x:c>
      <x:c r="H334" t="str">
        <x:f>TEXT(INT(L334/60),"00")&amp;":"&amp;TEXT(MOD(L334,60),"00")</x:f>
        <x:v>04:00</x:v>
      </x:c>
      <x:c r="I334" t="str">
        <x:f>IF(N334&gt;0,"+"&amp;TEXT(INT(N334/60),"00")&amp;":"&amp;TEXT(MOD(N334,60),"00"),"00:00")</x:f>
        <x:v>00:00</x:v>
      </x:c>
      <x:c r="J334" t="str">
        <x:f>IF(O334&gt;0,"-"&amp;TEXT(INT(O334/60),"00")&amp;":"&amp;TEXT(MOD(O334,60),"00"),"00:00")</x:f>
        <x:v>00:00</x:v>
      </x:c>
      <x:c r="K334" t="n">
        <x:f>ROUND((F334-C334-IF(OR(D334="",E334=""),0,E334-D334))*1440,0)</x:f>
        <x:v>240</x:v>
      </x:c>
      <x:c r="L334" t="n">
        <x:v>240</x:v>
      </x:c>
      <x:c r="M334" t="n">
        <x:f>K334-L334</x:f>
        <x:v>0</x:v>
      </x:c>
      <x:c r="N334" t="n">
        <x:f>MAX(0,M334)</x:f>
        <x:v>0</x:v>
      </x:c>
      <x:c r="O334" t="n">
        <x:f>MAX(0,-M334)</x:f>
        <x:v>0</x:v>
      </x:c>
      <x:c r="P334" t="str">
        <x:v>Ponto registrado — complemento ilustrativo</x:v>
      </x:c>
      <x:c r="Q334" t="str">
        <x:v>Saída da CONFERÊNCIA DE CAIXA; entrada/intervalo simulados</x:v>
      </x:c>
      <x:c r="R334" t="str">
        <x:v>2026-03</x:v>
      </x:c>
    </x:row>
    <x:row r="335" ht="21" customHeight="1">
      <x:c r="A335" s="83" t="n">
        <x:v>46104</x:v>
      </x:c>
      <x:c r="B335" t="str">
        <x:v>segunda-feira</x:v>
      </x:c>
      <x:c r="C335" s="85" t="n">
        <x:v>0.5409722222222222</x:v>
      </x:c>
      <x:c r="D335" s="85" t="n">
        <x:v>0.6784722222222223</x:v>
      </x:c>
      <x:c r="E335" s="85" t="n">
        <x:v>0.7173611111111111</x:v>
      </x:c>
      <x:c r="F335" s="85" t="n">
        <x:v>0.8916666666666667</x:v>
      </x:c>
      <x:c r="G335" t="str">
        <x:f>TEXT(INT(K335/60),"00")&amp;":"&amp;TEXT(MOD(K335,60),"00")</x:f>
        <x:v>07:29</x:v>
      </x:c>
      <x:c r="H335" t="str">
        <x:f>TEXT(INT(L335/60),"00")&amp;":"&amp;TEXT(MOD(L335,60),"00")</x:f>
        <x:v>07:20</x:v>
      </x:c>
      <x:c r="I335" t="str">
        <x:f>IF(N335&gt;0,"+"&amp;TEXT(INT(N335/60),"00")&amp;":"&amp;TEXT(MOD(N335,60),"00"),"00:00")</x:f>
        <x:v>+00:09</x:v>
      </x:c>
      <x:c r="J335" t="str">
        <x:f>IF(O335&gt;0,"-"&amp;TEXT(INT(O335/60),"00")&amp;":"&amp;TEXT(MOD(O335,60),"00"),"00:00")</x:f>
        <x:v>00:00</x:v>
      </x:c>
      <x:c r="K335" t="n">
        <x:f>ROUND((F335-C335-IF(OR(D335="",E335=""),0,E335-D335))*1440,0)</x:f>
        <x:v>449</x:v>
      </x:c>
      <x:c r="L335" t="n">
        <x:v>440</x:v>
      </x:c>
      <x:c r="M335" t="n">
        <x:f>K335-L335</x:f>
        <x:v>9</x:v>
      </x:c>
      <x:c r="N335" t="n">
        <x:f>MAX(0,M335)</x:f>
        <x:v>9</x:v>
      </x:c>
      <x:c r="O335" t="n">
        <x:f>MAX(0,-M335)</x:f>
        <x:v>0</x:v>
      </x:c>
      <x:c r="P335" t="str">
        <x:v>Ponto registrado — complemento ilustrativo</x:v>
      </x:c>
      <x:c r="Q335" t="str">
        <x:v>Saída da CONFERÊNCIA DE CAIXA; entrada/intervalo simulados</x:v>
      </x:c>
      <x:c r="R335" t="str">
        <x:v>2026-03</x:v>
      </x:c>
    </x:row>
    <x:row r="336" ht="21" customHeight="1">
      <x:c r="A336" s="83" t="n">
        <x:v>46105</x:v>
      </x:c>
      <x:c r="B336" t="str">
        <x:v>terça-feira</x:v>
      </x:c>
      <x:c r="C336" s="85" t="n">
        <x:v>0.5465277777777777</x:v>
      </x:c>
      <x:c r="D336" s="85" t="n">
        <x:v>0.675</x:v>
      </x:c>
      <x:c r="E336" s="85" t="n">
        <x:v>0.7180555555555556</x:v>
      </x:c>
      <x:c r="F336" s="85" t="n">
        <x:v>0.8888888888888888</x:v>
      </x:c>
      <x:c r="G336" t="str">
        <x:f>TEXT(INT(K336/60),"00")&amp;":"&amp;TEXT(MOD(K336,60),"00")</x:f>
        <x:v>07:11</x:v>
      </x:c>
      <x:c r="H336" t="str">
        <x:f>TEXT(INT(L336/60),"00")&amp;":"&amp;TEXT(MOD(L336,60),"00")</x:f>
        <x:v>07:20</x:v>
      </x:c>
      <x:c r="I336" t="str">
        <x:f>IF(N336&gt;0,"+"&amp;TEXT(INT(N336/60),"00")&amp;":"&amp;TEXT(MOD(N336,60),"00"),"00:00")</x:f>
        <x:v>00:00</x:v>
      </x:c>
      <x:c r="J336" t="str">
        <x:f>IF(O336&gt;0,"-"&amp;TEXT(INT(O336/60),"00")&amp;":"&amp;TEXT(MOD(O336,60),"00"),"00:00")</x:f>
        <x:v>-00:09</x:v>
      </x:c>
      <x:c r="K336" t="n">
        <x:f>ROUND((F336-C336-IF(OR(D336="",E336=""),0,E336-D336))*1440,0)</x:f>
        <x:v>431</x:v>
      </x:c>
      <x:c r="L336" t="n">
        <x:v>440</x:v>
      </x:c>
      <x:c r="M336" t="n">
        <x:f>K336-L336</x:f>
        <x:v>-9</x:v>
      </x:c>
      <x:c r="N336" t="n">
        <x:f>MAX(0,M336)</x:f>
        <x:v>0</x:v>
      </x:c>
      <x:c r="O336" t="n">
        <x:f>MAX(0,-M336)</x:f>
        <x:v>9</x:v>
      </x:c>
      <x:c r="P336" t="str">
        <x:v>Ponto registrado — complemento ilustrativo</x:v>
      </x:c>
      <x:c r="Q336" t="str">
        <x:v>Saída da CONFERÊNCIA DE CAIXA; entrada/intervalo simulados</x:v>
      </x:c>
      <x:c r="R336" t="str">
        <x:v>2026-03</x:v>
      </x:c>
    </x:row>
    <x:row r="337" ht="21" customHeight="1">
      <x:c r="A337" s="83" t="n">
        <x:v>46106</x:v>
      </x:c>
      <x:c r="B337" t="str">
        <x:v>quarta-feira</x:v>
      </x:c>
      <x:c r="C337" s="85" t="n">
        <x:v>0.5444444444444444</x:v>
      </x:c>
      <x:c r="D337" s="85" t="n">
        <x:v>0.6784722222222223</x:v>
      </x:c>
      <x:c r="E337" s="85" t="n">
        <x:v>0.7194444444444444</x:v>
      </x:c>
      <x:c r="F337" s="85" t="n">
        <x:v>0.8895833333333333</x:v>
      </x:c>
      <x:c r="G337" t="str">
        <x:f>TEXT(INT(K337/60),"00")&amp;":"&amp;TEXT(MOD(K337,60),"00")</x:f>
        <x:v>07:18</x:v>
      </x:c>
      <x:c r="H337" t="str">
        <x:f>TEXT(INT(L337/60),"00")&amp;":"&amp;TEXT(MOD(L337,60),"00")</x:f>
        <x:v>07:20</x:v>
      </x:c>
      <x:c r="I337" t="str">
        <x:f>IF(N337&gt;0,"+"&amp;TEXT(INT(N337/60),"00")&amp;":"&amp;TEXT(MOD(N337,60),"00"),"00:00")</x:f>
        <x:v>00:00</x:v>
      </x:c>
      <x:c r="J337" t="str">
        <x:f>IF(O337&gt;0,"-"&amp;TEXT(INT(O337/60),"00")&amp;":"&amp;TEXT(MOD(O337,60),"00"),"00:00")</x:f>
        <x:v>-00:02</x:v>
      </x:c>
      <x:c r="K337" t="n">
        <x:f>ROUND((F337-C337-IF(OR(D337="",E337=""),0,E337-D337))*1440,0)</x:f>
        <x:v>438</x:v>
      </x:c>
      <x:c r="L337" t="n">
        <x:v>440</x:v>
      </x:c>
      <x:c r="M337" t="n">
        <x:f>K337-L337</x:f>
        <x:v>-2</x:v>
      </x:c>
      <x:c r="N337" t="n">
        <x:f>MAX(0,M337)</x:f>
        <x:v>0</x:v>
      </x:c>
      <x:c r="O337" t="n">
        <x:f>MAX(0,-M337)</x:f>
        <x:v>2</x:v>
      </x:c>
      <x:c r="P337" t="str">
        <x:v>Ponto registrado — complemento ilustrativo</x:v>
      </x:c>
      <x:c r="Q337" t="str">
        <x:v>Saída da CONFERÊNCIA DE CAIXA; entrada/intervalo simulados</x:v>
      </x:c>
      <x:c r="R337" t="str">
        <x:v>2026-03</x:v>
      </x:c>
    </x:row>
    <x:row r="338" ht="21" customHeight="1">
      <x:c r="A338" s="83" t="n">
        <x:v>46107</x:v>
      </x:c>
      <x:c r="B338" t="str">
        <x:v>quinta-feira</x:v>
      </x:c>
      <x:c r="C338" s="85" t="n">
        <x:v>0.5395833333333333</x:v>
      </x:c>
      <x:c r="D338" s="85" t="n">
        <x:v>0.6770833333333334</x:v>
      </x:c>
      <x:c r="E338" s="85" t="n">
        <x:v>0.7194444444444444</x:v>
      </x:c>
      <x:c r="F338" s="85" t="n">
        <x:v>0.8881944444444444</x:v>
      </x:c>
      <x:c r="G338" t="str">
        <x:f>TEXT(INT(K338/60),"00")&amp;":"&amp;TEXT(MOD(K338,60),"00")</x:f>
        <x:v>07:21</x:v>
      </x:c>
      <x:c r="H338" t="str">
        <x:f>TEXT(INT(L338/60),"00")&amp;":"&amp;TEXT(MOD(L338,60),"00")</x:f>
        <x:v>07:20</x:v>
      </x:c>
      <x:c r="I338" t="str">
        <x:f>IF(N338&gt;0,"+"&amp;TEXT(INT(N338/60),"00")&amp;":"&amp;TEXT(MOD(N338,60),"00"),"00:00")</x:f>
        <x:v>+00:01</x:v>
      </x:c>
      <x:c r="J338" t="str">
        <x:f>IF(O338&gt;0,"-"&amp;TEXT(INT(O338/60),"00")&amp;":"&amp;TEXT(MOD(O338,60),"00"),"00:00")</x:f>
        <x:v>00:00</x:v>
      </x:c>
      <x:c r="K338" t="n">
        <x:f>ROUND((F338-C338-IF(OR(D338="",E338=""),0,E338-D338))*1440,0)</x:f>
        <x:v>441</x:v>
      </x:c>
      <x:c r="L338" t="n">
        <x:v>440</x:v>
      </x:c>
      <x:c r="M338" t="n">
        <x:f>K338-L338</x:f>
        <x:v>1</x:v>
      </x:c>
      <x:c r="N338" t="n">
        <x:f>MAX(0,M338)</x:f>
        <x:v>1</x:v>
      </x:c>
      <x:c r="O338" t="n">
        <x:f>MAX(0,-M338)</x:f>
        <x:v>0</x:v>
      </x:c>
      <x:c r="P338" t="str">
        <x:v>Ponto registrado — jornada revisada</x:v>
      </x:c>
      <x:c r="Q338" t="str">
        <x:v>Horários da planilha de jornadas revisada</x:v>
      </x:c>
      <x:c r="R338" t="str">
        <x:v>2026-03</x:v>
      </x:c>
    </x:row>
    <x:row r="339" ht="21" customHeight="1">
      <x:c r="A339" s="83" t="n">
        <x:v>46108</x:v>
      </x:c>
      <x:c r="B339" t="str">
        <x:v>sexta-feira</x:v>
      </x:c>
      <x:c r="C339" s="85" t="n">
        <x:v>0.5458333333333333</x:v>
      </x:c>
      <x:c r="D339" s="85" t="n">
        <x:v>0.6798611111111111</x:v>
      </x:c>
      <x:c r="E339" s="85" t="n">
        <x:v>0.7215277777777778</x:v>
      </x:c>
      <x:c r="F339" s="85" t="n">
        <x:v>0.8895833333333333</x:v>
      </x:c>
      <x:c r="G339" t="str">
        <x:f>TEXT(INT(K339/60),"00")&amp;":"&amp;TEXT(MOD(K339,60),"00")</x:f>
        <x:v>07:15</x:v>
      </x:c>
      <x:c r="H339" t="str">
        <x:f>TEXT(INT(L339/60),"00")&amp;":"&amp;TEXT(MOD(L339,60),"00")</x:f>
        <x:v>07:20</x:v>
      </x:c>
      <x:c r="I339" t="str">
        <x:f>IF(N339&gt;0,"+"&amp;TEXT(INT(N339/60),"00")&amp;":"&amp;TEXT(MOD(N339,60),"00"),"00:00")</x:f>
        <x:v>00:00</x:v>
      </x:c>
      <x:c r="J339" t="str">
        <x:f>IF(O339&gt;0,"-"&amp;TEXT(INT(O339/60),"00")&amp;":"&amp;TEXT(MOD(O339,60),"00"),"00:00")</x:f>
        <x:v>-00:05</x:v>
      </x:c>
      <x:c r="K339" t="n">
        <x:f>ROUND((F339-C339-IF(OR(D339="",E339=""),0,E339-D339))*1440,0)</x:f>
        <x:v>435</x:v>
      </x:c>
      <x:c r="L339" t="n">
        <x:v>440</x:v>
      </x:c>
      <x:c r="M339" t="n">
        <x:f>K339-L339</x:f>
        <x:v>-5</x:v>
      </x:c>
      <x:c r="N339" t="n">
        <x:f>MAX(0,M339)</x:f>
        <x:v>0</x:v>
      </x:c>
      <x:c r="O339" t="n">
        <x:f>MAX(0,-M339)</x:f>
        <x:v>5</x:v>
      </x:c>
      <x:c r="P339" t="str">
        <x:v>Ponto registrado — complemento ilustrativo</x:v>
      </x:c>
      <x:c r="Q339" t="str">
        <x:v>Saída da CONFERÊNCIA DE CAIXA; entrada/intervalo simulados</x:v>
      </x:c>
      <x:c r="R339" t="str">
        <x:v>2026-03</x:v>
      </x:c>
    </x:row>
    <x:row r="340" ht="21" customHeight="1">
      <x:c r="A340" s="83" t="n">
        <x:v>46109</x:v>
      </x:c>
      <x:c r="B340" t="str">
        <x:v>sábado</x:v>
      </x:c>
      <x:c r="C340" s="85" t="n">
        <x:v>0.5465277777777777</x:v>
      </x:c>
      <x:c r="D340" s="85"/>
      <x:c r="E340" s="85"/>
      <x:c r="F340" s="85" t="n">
        <x:v>0.7069444444444445</x:v>
      </x:c>
      <x:c r="G340" t="str">
        <x:f>TEXT(INT(K340/60),"00")&amp;":"&amp;TEXT(MOD(K340,60),"00")</x:f>
        <x:v>03:51</x:v>
      </x:c>
      <x:c r="H340" t="str">
        <x:f>TEXT(INT(L340/60),"00")&amp;":"&amp;TEXT(MOD(L340,60),"00")</x:f>
        <x:v>04:00</x:v>
      </x:c>
      <x:c r="I340" t="str">
        <x:f>IF(N340&gt;0,"+"&amp;TEXT(INT(N340/60),"00")&amp;":"&amp;TEXT(MOD(N340,60),"00"),"00:00")</x:f>
        <x:v>00:00</x:v>
      </x:c>
      <x:c r="J340" t="str">
        <x:f>IF(O340&gt;0,"-"&amp;TEXT(INT(O340/60),"00")&amp;":"&amp;TEXT(MOD(O340,60),"00"),"00:00")</x:f>
        <x:v>-00:09</x:v>
      </x:c>
      <x:c r="K340" t="n">
        <x:f>ROUND((F340-C340-IF(OR(D340="",E340=""),0,E340-D340))*1440,0)</x:f>
        <x:v>231</x:v>
      </x:c>
      <x:c r="L340" t="n">
        <x:v>240</x:v>
      </x:c>
      <x:c r="M340" t="n">
        <x:f>K340-L340</x:f>
        <x:v>-9</x:v>
      </x:c>
      <x:c r="N340" t="n">
        <x:f>MAX(0,M340)</x:f>
        <x:v>0</x:v>
      </x:c>
      <x:c r="O340" t="n">
        <x:f>MAX(0,-M340)</x:f>
        <x:v>9</x:v>
      </x:c>
      <x:c r="P340" t="str">
        <x:v>Ponto registrado — complemento ilustrativo</x:v>
      </x:c>
      <x:c r="Q340" t="str">
        <x:v>Saída da CONFERÊNCIA DE CAIXA; entrada/intervalo simulados</x:v>
      </x:c>
      <x:c r="R340" t="str">
        <x:v>2026-03</x:v>
      </x:c>
    </x:row>
    <x:row r="341" ht="21" customHeight="1">
      <x:c r="A341" s="83" t="n">
        <x:v>46111</x:v>
      </x:c>
      <x:c r="B341" t="str">
        <x:v>segunda-feira</x:v>
      </x:c>
      <x:c r="C341" s="85" t="n">
        <x:v>0.5430555555555555</x:v>
      </x:c>
      <x:c r="D341" s="85" t="n">
        <x:v>0.6756944444444445</x:v>
      </x:c>
      <x:c r="E341" s="85" t="n">
        <x:v>0.7201388888888889</x:v>
      </x:c>
      <x:c r="F341" s="85" t="n">
        <x:v>0.8902777777777777</x:v>
      </x:c>
      <x:c r="G341" t="str">
        <x:f>TEXT(INT(K341/60),"00")&amp;":"&amp;TEXT(MOD(K341,60),"00")</x:f>
        <x:v>07:16</x:v>
      </x:c>
      <x:c r="H341" t="str">
        <x:f>TEXT(INT(L341/60),"00")&amp;":"&amp;TEXT(MOD(L341,60),"00")</x:f>
        <x:v>07:20</x:v>
      </x:c>
      <x:c r="I341" t="str">
        <x:f>IF(N341&gt;0,"+"&amp;TEXT(INT(N341/60),"00")&amp;":"&amp;TEXT(MOD(N341,60),"00"),"00:00")</x:f>
        <x:v>00:00</x:v>
      </x:c>
      <x:c r="J341" t="str">
        <x:f>IF(O341&gt;0,"-"&amp;TEXT(INT(O341/60),"00")&amp;":"&amp;TEXT(MOD(O341,60),"00"),"00:00")</x:f>
        <x:v>-00:04</x:v>
      </x:c>
      <x:c r="K341" t="n">
        <x:f>ROUND((F341-C341-IF(OR(D341="",E341=""),0,E341-D341))*1440,0)</x:f>
        <x:v>436</x:v>
      </x:c>
      <x:c r="L341" t="n">
        <x:v>440</x:v>
      </x:c>
      <x:c r="M341" t="n">
        <x:f>K341-L341</x:f>
        <x:v>-4</x:v>
      </x:c>
      <x:c r="N341" t="n">
        <x:f>MAX(0,M341)</x:f>
        <x:v>0</x:v>
      </x:c>
      <x:c r="O341" t="n">
        <x:f>MAX(0,-M341)</x:f>
        <x:v>4</x:v>
      </x:c>
      <x:c r="P341" t="str">
        <x:v>Ponto registrado — complemento ilustrativo</x:v>
      </x:c>
      <x:c r="Q341" t="str">
        <x:v>Saída da CONFERÊNCIA DE CAIXA; entrada/intervalo simulados</x:v>
      </x:c>
      <x:c r="R341" t="str">
        <x:v>2026-03</x:v>
      </x:c>
    </x:row>
    <x:row r="342" ht="21" customHeight="1">
      <x:c r="A342" s="83" t="n">
        <x:v>46112</x:v>
      </x:c>
      <x:c r="B342" t="str">
        <x:v>terça-feira</x:v>
      </x:c>
      <x:c r="C342" s="85" t="n">
        <x:v>0.5388888888888889</x:v>
      </x:c>
      <x:c r="D342" s="85" t="n">
        <x:v>0.6798611111111111</x:v>
      </x:c>
      <x:c r="E342" s="85" t="n">
        <x:v>0.7208333333333333</x:v>
      </x:c>
      <x:c r="F342" s="85" t="n">
        <x:v>0.8881944444444444</x:v>
      </x:c>
      <x:c r="G342" t="str">
        <x:f>TEXT(INT(K342/60),"00")&amp;":"&amp;TEXT(MOD(K342,60),"00")</x:f>
        <x:v>07:24</x:v>
      </x:c>
      <x:c r="H342" t="str">
        <x:f>TEXT(INT(L342/60),"00")&amp;":"&amp;TEXT(MOD(L342,60),"00")</x:f>
        <x:v>07:20</x:v>
      </x:c>
      <x:c r="I342" t="str">
        <x:f>IF(N342&gt;0,"+"&amp;TEXT(INT(N342/60),"00")&amp;":"&amp;TEXT(MOD(N342,60),"00"),"00:00")</x:f>
        <x:v>+00:04</x:v>
      </x:c>
      <x:c r="J342" t="str">
        <x:f>IF(O342&gt;0,"-"&amp;TEXT(INT(O342/60),"00")&amp;":"&amp;TEXT(MOD(O342,60),"00"),"00:00")</x:f>
        <x:v>00:00</x:v>
      </x:c>
      <x:c r="K342" t="n">
        <x:f>ROUND((F342-C342-IF(OR(D342="",E342=""),0,E342-D342))*1440,0)</x:f>
        <x:v>444</x:v>
      </x:c>
      <x:c r="L342" t="n">
        <x:v>440</x:v>
      </x:c>
      <x:c r="M342" t="n">
        <x:f>K342-L342</x:f>
        <x:v>4</x:v>
      </x:c>
      <x:c r="N342" t="n">
        <x:f>MAX(0,M342)</x:f>
        <x:v>4</x:v>
      </x:c>
      <x:c r="O342" t="n">
        <x:f>MAX(0,-M342)</x:f>
        <x:v>0</x:v>
      </x:c>
      <x:c r="P342" t="str">
        <x:v>Ponto registrado — complemento ilustrativo</x:v>
      </x:c>
      <x:c r="Q342" t="str">
        <x:v>Saída da CONFERÊNCIA DE CAIXA; entrada/intervalo simulados</x:v>
      </x:c>
      <x:c r="R342" t="str">
        <x:v>2026-03</x:v>
      </x:c>
    </x:row>
    <x:row r="343" ht="21" customHeight="1">
      <x:c r="A343" s="83" t="n">
        <x:v>46113</x:v>
      </x:c>
      <x:c r="B343" t="str">
        <x:v>quarta-feira</x:v>
      </x:c>
      <x:c r="C343" s="85" t="n">
        <x:v>0.5402777777777777</x:v>
      </x:c>
      <x:c r="D343" s="85" t="n">
        <x:v>0.68125</x:v>
      </x:c>
      <x:c r="E343" s="85" t="n">
        <x:v>0.7201388888888889</x:v>
      </x:c>
      <x:c r="F343" s="85" t="n">
        <x:v>0.8895833333333333</x:v>
      </x:c>
      <x:c r="G343" t="str">
        <x:f>TEXT(INT(K343/60),"00")&amp;":"&amp;TEXT(MOD(K343,60),"00")</x:f>
        <x:v>07:27</x:v>
      </x:c>
      <x:c r="H343" t="str">
        <x:f>TEXT(INT(L343/60),"00")&amp;":"&amp;TEXT(MOD(L343,60),"00")</x:f>
        <x:v>07:20</x:v>
      </x:c>
      <x:c r="I343" t="str">
        <x:f>IF(N343&gt;0,"+"&amp;TEXT(INT(N343/60),"00")&amp;":"&amp;TEXT(MOD(N343,60),"00"),"00:00")</x:f>
        <x:v>+00:07</x:v>
      </x:c>
      <x:c r="J343" t="str">
        <x:f>IF(O343&gt;0,"-"&amp;TEXT(INT(O343/60),"00")&amp;":"&amp;TEXT(MOD(O343,60),"00"),"00:00")</x:f>
        <x:v>00:00</x:v>
      </x:c>
      <x:c r="K343" t="n">
        <x:f>ROUND((F343-C343-IF(OR(D343="",E343=""),0,E343-D343))*1440,0)</x:f>
        <x:v>447</x:v>
      </x:c>
      <x:c r="L343" t="n">
        <x:v>440</x:v>
      </x:c>
      <x:c r="M343" t="n">
        <x:f>K343-L343</x:f>
        <x:v>7</x:v>
      </x:c>
      <x:c r="N343" t="n">
        <x:f>MAX(0,M343)</x:f>
        <x:v>7</x:v>
      </x:c>
      <x:c r="O343" t="n">
        <x:f>MAX(0,-M343)</x:f>
        <x:v>0</x:v>
      </x:c>
      <x:c r="P343" t="str">
        <x:v>Ponto registrado — complemento ilustrativo</x:v>
      </x:c>
      <x:c r="Q343" t="str">
        <x:v>Saída da CONFERÊNCIA DE CAIXA; entrada/intervalo simulados</x:v>
      </x:c>
      <x:c r="R343" t="str">
        <x:v>2026-04</x:v>
      </x:c>
    </x:row>
    <x:row r="344" ht="21" customHeight="1">
      <x:c r="A344" s="83" t="n">
        <x:v>46114</x:v>
      </x:c>
      <x:c r="B344" t="str">
        <x:v>quinta-feira</x:v>
      </x:c>
      <x:c r="C344" s="85" t="n">
        <x:v>0.5451388888888888</x:v>
      </x:c>
      <x:c r="D344" s="85" t="n">
        <x:v>0.6743055555555556</x:v>
      </x:c>
      <x:c r="E344" s="85" t="n">
        <x:v>0.7159722222222222</x:v>
      </x:c>
      <x:c r="F344" s="85" t="n">
        <x:v>0.8902777777777777</x:v>
      </x:c>
      <x:c r="G344" t="str">
        <x:f>TEXT(INT(K344/60),"00")&amp;":"&amp;TEXT(MOD(K344,60),"00")</x:f>
        <x:v>07:17</x:v>
      </x:c>
      <x:c r="H344" t="str">
        <x:f>TEXT(INT(L344/60),"00")&amp;":"&amp;TEXT(MOD(L344,60),"00")</x:f>
        <x:v>07:20</x:v>
      </x:c>
      <x:c r="I344" t="str">
        <x:f>IF(N344&gt;0,"+"&amp;TEXT(INT(N344/60),"00")&amp;":"&amp;TEXT(MOD(N344,60),"00"),"00:00")</x:f>
        <x:v>00:00</x:v>
      </x:c>
      <x:c r="J344" t="str">
        <x:f>IF(O344&gt;0,"-"&amp;TEXT(INT(O344/60),"00")&amp;":"&amp;TEXT(MOD(O344,60),"00"),"00:00")</x:f>
        <x:v>-00:03</x:v>
      </x:c>
      <x:c r="K344" t="n">
        <x:f>ROUND((F344-C344-IF(OR(D344="",E344=""),0,E344-D344))*1440,0)</x:f>
        <x:v>437</x:v>
      </x:c>
      <x:c r="L344" t="n">
        <x:v>440</x:v>
      </x:c>
      <x:c r="M344" t="n">
        <x:f>K344-L344</x:f>
        <x:v>-3</x:v>
      </x:c>
      <x:c r="N344" t="n">
        <x:f>MAX(0,M344)</x:f>
        <x:v>0</x:v>
      </x:c>
      <x:c r="O344" t="n">
        <x:f>MAX(0,-M344)</x:f>
        <x:v>3</x:v>
      </x:c>
      <x:c r="P344" t="str">
        <x:v>Ponto registrado — complemento ilustrativo</x:v>
      </x:c>
      <x:c r="Q344" t="str">
        <x:v>Saída da CONFERÊNCIA DE CAIXA; entrada/intervalo simulados</x:v>
      </x:c>
      <x:c r="R344" t="str">
        <x:v>2026-04</x:v>
      </x:c>
    </x:row>
    <x:row r="345" ht="21" customHeight="1">
      <x:c r="A345" s="83" t="n">
        <x:v>46115</x:v>
      </x:c>
      <x:c r="B345" t="str">
        <x:v>sexta-feira</x:v>
      </x:c>
      <x:c r="C345" s="85" t="n">
        <x:v>0.5409722222222222</x:v>
      </x:c>
      <x:c r="D345" s="85" t="n">
        <x:v>0.6770833333333334</x:v>
      </x:c>
      <x:c r="E345" s="85" t="n">
        <x:v>0.7166666666666667</x:v>
      </x:c>
      <x:c r="F345" s="85" t="n">
        <x:v>0.8888888888888888</x:v>
      </x:c>
      <x:c r="G345" t="str">
        <x:f>TEXT(INT(K345/60),"00")&amp;":"&amp;TEXT(MOD(K345,60),"00")</x:f>
        <x:v>07:24</x:v>
      </x:c>
      <x:c r="H345" t="str">
        <x:f>TEXT(INT(L345/60),"00")&amp;":"&amp;TEXT(MOD(L345,60),"00")</x:f>
        <x:v>07:20</x:v>
      </x:c>
      <x:c r="I345" t="str">
        <x:f>IF(N345&gt;0,"+"&amp;TEXT(INT(N345/60),"00")&amp;":"&amp;TEXT(MOD(N345,60),"00"),"00:00")</x:f>
        <x:v>+00:04</x:v>
      </x:c>
      <x:c r="J345" t="str">
        <x:f>IF(O345&gt;0,"-"&amp;TEXT(INT(O345/60),"00")&amp;":"&amp;TEXT(MOD(O345,60),"00"),"00:00")</x:f>
        <x:v>00:00</x:v>
      </x:c>
      <x:c r="K345" t="n">
        <x:f>ROUND((F345-C345-IF(OR(D345="",E345=""),0,E345-D345))*1440,0)</x:f>
        <x:v>444</x:v>
      </x:c>
      <x:c r="L345" t="n">
        <x:v>440</x:v>
      </x:c>
      <x:c r="M345" t="n">
        <x:f>K345-L345</x:f>
        <x:v>4</x:v>
      </x:c>
      <x:c r="N345" t="n">
        <x:f>MAX(0,M345)</x:f>
        <x:v>4</x:v>
      </x:c>
      <x:c r="O345" t="n">
        <x:f>MAX(0,-M345)</x:f>
        <x:v>0</x:v>
      </x:c>
      <x:c r="P345" t="str">
        <x:v>Ponto registrado — complemento ilustrativo</x:v>
      </x:c>
      <x:c r="Q345" t="str">
        <x:v>Saída da CONFERÊNCIA DE CAIXA; entrada/intervalo simulados</x:v>
      </x:c>
      <x:c r="R345" t="str">
        <x:v>2026-04</x:v>
      </x:c>
    </x:row>
    <x:row r="346" ht="21" customHeight="1">
      <x:c r="A346" s="83" t="n">
        <x:v>46116</x:v>
      </x:c>
      <x:c r="B346" t="str">
        <x:v>sábado</x:v>
      </x:c>
      <x:c r="C346" s="85" t="n">
        <x:v>0.5416666666666666</x:v>
      </x:c>
      <x:c r="D346" s="85"/>
      <x:c r="E346" s="85"/>
      <x:c r="F346" s="85" t="n">
        <x:v>0.7020833333333333</x:v>
      </x:c>
      <x:c r="G346" t="str">
        <x:f>TEXT(INT(K346/60),"00")&amp;":"&amp;TEXT(MOD(K346,60),"00")</x:f>
        <x:v>03:51</x:v>
      </x:c>
      <x:c r="H346" t="str">
        <x:f>TEXT(INT(L346/60),"00")&amp;":"&amp;TEXT(MOD(L346,60),"00")</x:f>
        <x:v>04:00</x:v>
      </x:c>
      <x:c r="I346" t="str">
        <x:f>IF(N346&gt;0,"+"&amp;TEXT(INT(N346/60),"00")&amp;":"&amp;TEXT(MOD(N346,60),"00"),"00:00")</x:f>
        <x:v>00:00</x:v>
      </x:c>
      <x:c r="J346" t="str">
        <x:f>IF(O346&gt;0,"-"&amp;TEXT(INT(O346/60),"00")&amp;":"&amp;TEXT(MOD(O346,60),"00"),"00:00")</x:f>
        <x:v>-00:09</x:v>
      </x:c>
      <x:c r="K346" t="n">
        <x:f>ROUND((F346-C346-IF(OR(D346="",E346=""),0,E346-D346))*1440,0)</x:f>
        <x:v>231</x:v>
      </x:c>
      <x:c r="L346" t="n">
        <x:v>240</x:v>
      </x:c>
      <x:c r="M346" t="n">
        <x:f>K346-L346</x:f>
        <x:v>-9</x:v>
      </x:c>
      <x:c r="N346" t="n">
        <x:f>MAX(0,M346)</x:f>
        <x:v>0</x:v>
      </x:c>
      <x:c r="O346" t="n">
        <x:f>MAX(0,-M346)</x:f>
        <x:v>9</x:v>
      </x:c>
      <x:c r="P346" t="str">
        <x:v>Ponto registrado — complemento ilustrativo</x:v>
      </x:c>
      <x:c r="Q346" t="str">
        <x:v>Saída da CONFERÊNCIA DE CAIXA; entrada/intervalo simulados</x:v>
      </x:c>
      <x:c r="R346" t="str">
        <x:v>2026-04</x:v>
      </x:c>
    </x:row>
    <x:row r="347" ht="21" customHeight="1">
      <x:c r="A347" s="83" t="n">
        <x:v>46118</x:v>
      </x:c>
      <x:c r="B347" t="str">
        <x:v>segunda-feira</x:v>
      </x:c>
      <x:c r="C347" s="85" t="n">
        <x:v>0.5381944444444444</x:v>
      </x:c>
      <x:c r="D347" s="85" t="n">
        <x:v>0.6770833333333334</x:v>
      </x:c>
      <x:c r="E347" s="85" t="n">
        <x:v>0.7152777777777778</x:v>
      </x:c>
      <x:c r="F347" s="85" t="n">
        <x:v>0.8875</x:v>
      </x:c>
      <x:c r="G347" t="str">
        <x:f>TEXT(INT(K347/60),"00")&amp;":"&amp;TEXT(MOD(K347,60),"00")</x:f>
        <x:v>07:28</x:v>
      </x:c>
      <x:c r="H347" t="str">
        <x:f>TEXT(INT(L347/60),"00")&amp;":"&amp;TEXT(MOD(L347,60),"00")</x:f>
        <x:v>07:20</x:v>
      </x:c>
      <x:c r="I347" t="str">
        <x:f>IF(N347&gt;0,"+"&amp;TEXT(INT(N347/60),"00")&amp;":"&amp;TEXT(MOD(N347,60),"00"),"00:00")</x:f>
        <x:v>+00:08</x:v>
      </x:c>
      <x:c r="J347" t="str">
        <x:f>IF(O347&gt;0,"-"&amp;TEXT(INT(O347/60),"00")&amp;":"&amp;TEXT(MOD(O347,60),"00"),"00:00")</x:f>
        <x:v>00:00</x:v>
      </x:c>
      <x:c r="K347" t="n">
        <x:f>ROUND((F347-C347-IF(OR(D347="",E347=""),0,E347-D347))*1440,0)</x:f>
        <x:v>448</x:v>
      </x:c>
      <x:c r="L347" t="n">
        <x:v>440</x:v>
      </x:c>
      <x:c r="M347" t="n">
        <x:f>K347-L347</x:f>
        <x:v>8</x:v>
      </x:c>
      <x:c r="N347" t="n">
        <x:f>MAX(0,M347)</x:f>
        <x:v>8</x:v>
      </x:c>
      <x:c r="O347" t="n">
        <x:f>MAX(0,-M347)</x:f>
        <x:v>0</x:v>
      </x:c>
      <x:c r="P347" t="str">
        <x:v>Ponto registrado — jornada revisada</x:v>
      </x:c>
      <x:c r="Q347" t="str">
        <x:v>Horários da planilha de jornadas revisada</x:v>
      </x:c>
      <x:c r="R347" t="str">
        <x:v>2026-04</x:v>
      </x:c>
    </x:row>
    <x:row r="348" ht="21" customHeight="1">
      <x:c r="A348" s="83" t="n">
        <x:v>46119</x:v>
      </x:c>
      <x:c r="B348" t="str">
        <x:v>terça-feira</x:v>
      </x:c>
      <x:c r="C348" s="85" t="n">
        <x:v>0.5388888888888889</x:v>
      </x:c>
      <x:c r="D348" s="85" t="n">
        <x:v>0.6680555555555555</x:v>
      </x:c>
      <x:c r="E348" s="85" t="n">
        <x:v>0.7125</x:v>
      </x:c>
      <x:c r="F348" s="85" t="n">
        <x:v>0.8888888888888888</x:v>
      </x:c>
      <x:c r="G348" t="str">
        <x:f>TEXT(INT(K348/60),"00")&amp;":"&amp;TEXT(MOD(K348,60),"00")</x:f>
        <x:v>07:20</x:v>
      </x:c>
      <x:c r="H348" t="str">
        <x:f>TEXT(INT(L348/60),"00")&amp;":"&amp;TEXT(MOD(L348,60),"00")</x:f>
        <x:v>07:20</x:v>
      </x:c>
      <x:c r="I348" t="str">
        <x:f>IF(N348&gt;0,"+"&amp;TEXT(INT(N348/60),"00")&amp;":"&amp;TEXT(MOD(N348,60),"00"),"00:00")</x:f>
        <x:v>00:00</x:v>
      </x:c>
      <x:c r="J348" t="str">
        <x:f>IF(O348&gt;0,"-"&amp;TEXT(INT(O348/60),"00")&amp;":"&amp;TEXT(MOD(O348,60),"00"),"00:00")</x:f>
        <x:v>00:00</x:v>
      </x:c>
      <x:c r="K348" t="n">
        <x:f>ROUND((F348-C348-IF(OR(D348="",E348=""),0,E348-D348))*1440,0)</x:f>
        <x:v>440</x:v>
      </x:c>
      <x:c r="L348" t="n">
        <x:v>440</x:v>
      </x:c>
      <x:c r="M348" t="n">
        <x:f>K348-L348</x:f>
        <x:v>0</x:v>
      </x:c>
      <x:c r="N348" t="n">
        <x:f>MAX(0,M348)</x:f>
        <x:v>0</x:v>
      </x:c>
      <x:c r="O348" t="n">
        <x:f>MAX(0,-M348)</x:f>
        <x:v>0</x:v>
      </x:c>
      <x:c r="P348" t="str">
        <x:v>Ponto registrado — complemento ilustrativo</x:v>
      </x:c>
      <x:c r="Q348" t="str">
        <x:v>Saída da CONFERÊNCIA DE CAIXA; entrada/intervalo simulados</x:v>
      </x:c>
      <x:c r="R348" t="str">
        <x:v>2026-04</x:v>
      </x:c>
    </x:row>
    <x:row r="349" ht="21" customHeight="1">
      <x:c r="A349" s="83" t="n">
        <x:v>46120</x:v>
      </x:c>
      <x:c r="B349" t="str">
        <x:v>quarta-feira</x:v>
      </x:c>
      <x:c r="C349" s="85" t="n">
        <x:v>0.5416666666666666</x:v>
      </x:c>
      <x:c r="D349" s="85" t="n">
        <x:v>0.6743055555555556</x:v>
      </x:c>
      <x:c r="E349" s="85" t="n">
        <x:v>0.71875</x:v>
      </x:c>
      <x:c r="F349" s="85" t="n">
        <x:v>0.8902777777777777</x:v>
      </x:c>
      <x:c r="G349" t="str">
        <x:f>TEXT(INT(K349/60),"00")&amp;":"&amp;TEXT(MOD(K349,60),"00")</x:f>
        <x:v>07:18</x:v>
      </x:c>
      <x:c r="H349" t="str">
        <x:f>TEXT(INT(L349/60),"00")&amp;":"&amp;TEXT(MOD(L349,60),"00")</x:f>
        <x:v>07:20</x:v>
      </x:c>
      <x:c r="I349" t="str">
        <x:f>IF(N349&gt;0,"+"&amp;TEXT(INT(N349/60),"00")&amp;":"&amp;TEXT(MOD(N349,60),"00"),"00:00")</x:f>
        <x:v>00:00</x:v>
      </x:c>
      <x:c r="J349" t="str">
        <x:f>IF(O349&gt;0,"-"&amp;TEXT(INT(O349/60),"00")&amp;":"&amp;TEXT(MOD(O349,60),"00"),"00:00")</x:f>
        <x:v>-00:02</x:v>
      </x:c>
      <x:c r="K349" t="n">
        <x:f>ROUND((F349-C349-IF(OR(D349="",E349=""),0,E349-D349))*1440,0)</x:f>
        <x:v>438</x:v>
      </x:c>
      <x:c r="L349" t="n">
        <x:v>440</x:v>
      </x:c>
      <x:c r="M349" t="n">
        <x:f>K349-L349</x:f>
        <x:v>-2</x:v>
      </x:c>
      <x:c r="N349" t="n">
        <x:f>MAX(0,M349)</x:f>
        <x:v>0</x:v>
      </x:c>
      <x:c r="O349" t="n">
        <x:f>MAX(0,-M349)</x:f>
        <x:v>2</x:v>
      </x:c>
      <x:c r="P349" t="str">
        <x:v>Ponto registrado — complemento ilustrativo</x:v>
      </x:c>
      <x:c r="Q349" t="str">
        <x:v>Saída da CONFERÊNCIA DE CAIXA; entrada/intervalo simulados</x:v>
      </x:c>
      <x:c r="R349" t="str">
        <x:v>2026-04</x:v>
      </x:c>
    </x:row>
    <x:row r="350" ht="21" customHeight="1">
      <x:c r="A350" s="83" t="n">
        <x:v>46121</x:v>
      </x:c>
      <x:c r="B350" t="str">
        <x:v>quinta-feira</x:v>
      </x:c>
      <x:c r="C350" s="85" t="n">
        <x:v>0.5458333333333333</x:v>
      </x:c>
      <x:c r="D350" s="85" t="n">
        <x:v>0.6722222222222223</x:v>
      </x:c>
      <x:c r="E350" s="85" t="n">
        <x:v>0.7118055555555556</x:v>
      </x:c>
      <x:c r="F350" s="85" t="n">
        <x:v>0.8895833333333333</x:v>
      </x:c>
      <x:c r="G350" t="str">
        <x:f>TEXT(INT(K350/60),"00")&amp;":"&amp;TEXT(MOD(K350,60),"00")</x:f>
        <x:v>07:18</x:v>
      </x:c>
      <x:c r="H350" t="str">
        <x:f>TEXT(INT(L350/60),"00")&amp;":"&amp;TEXT(MOD(L350,60),"00")</x:f>
        <x:v>07:20</x:v>
      </x:c>
      <x:c r="I350" t="str">
        <x:f>IF(N350&gt;0,"+"&amp;TEXT(INT(N350/60),"00")&amp;":"&amp;TEXT(MOD(N350,60),"00"),"00:00")</x:f>
        <x:v>00:00</x:v>
      </x:c>
      <x:c r="J350" t="str">
        <x:f>IF(O350&gt;0,"-"&amp;TEXT(INT(O350/60),"00")&amp;":"&amp;TEXT(MOD(O350,60),"00"),"00:00")</x:f>
        <x:v>-00:02</x:v>
      </x:c>
      <x:c r="K350" t="n">
        <x:f>ROUND((F350-C350-IF(OR(D350="",E350=""),0,E350-D350))*1440,0)</x:f>
        <x:v>438</x:v>
      </x:c>
      <x:c r="L350" t="n">
        <x:v>440</x:v>
      </x:c>
      <x:c r="M350" t="n">
        <x:f>K350-L350</x:f>
        <x:v>-2</x:v>
      </x:c>
      <x:c r="N350" t="n">
        <x:f>MAX(0,M350)</x:f>
        <x:v>0</x:v>
      </x:c>
      <x:c r="O350" t="n">
        <x:f>MAX(0,-M350)</x:f>
        <x:v>2</x:v>
      </x:c>
      <x:c r="P350" t="str">
        <x:v>Ponto registrado — complemento ilustrativo</x:v>
      </x:c>
      <x:c r="Q350" t="str">
        <x:v>Saída da CONFERÊNCIA DE CAIXA; entrada/intervalo simulados</x:v>
      </x:c>
      <x:c r="R350" t="str">
        <x:v>2026-04</x:v>
      </x:c>
    </x:row>
    <x:row r="351" ht="21" customHeight="1">
      <x:c r="A351" s="83" t="n">
        <x:v>46122</x:v>
      </x:c>
      <x:c r="B351" t="str">
        <x:v>sexta-feira</x:v>
      </x:c>
      <x:c r="C351" s="85" t="n">
        <x:v>0.5458333333333333</x:v>
      </x:c>
      <x:c r="D351" s="85" t="n">
        <x:v>0.6659722222222222</x:v>
      </x:c>
      <x:c r="E351" s="85" t="n">
        <x:v>0.7055555555555556</x:v>
      </x:c>
      <x:c r="F351" s="85" t="n">
        <x:v>0.8902777777777777</x:v>
      </x:c>
      <x:c r="G351" t="str">
        <x:f>TEXT(INT(K351/60),"00")&amp;":"&amp;TEXT(MOD(K351,60),"00")</x:f>
        <x:v>07:19</x:v>
      </x:c>
      <x:c r="H351" t="str">
        <x:f>TEXT(INT(L351/60),"00")&amp;":"&amp;TEXT(MOD(L351,60),"00")</x:f>
        <x:v>07:20</x:v>
      </x:c>
      <x:c r="I351" t="str">
        <x:f>IF(N351&gt;0,"+"&amp;TEXT(INT(N351/60),"00")&amp;":"&amp;TEXT(MOD(N351,60),"00"),"00:00")</x:f>
        <x:v>00:00</x:v>
      </x:c>
      <x:c r="J351" t="str">
        <x:f>IF(O351&gt;0,"-"&amp;TEXT(INT(O351/60),"00")&amp;":"&amp;TEXT(MOD(O351,60),"00"),"00:00")</x:f>
        <x:v>-00:01</x:v>
      </x:c>
      <x:c r="K351" t="n">
        <x:f>ROUND((F351-C351-IF(OR(D351="",E351=""),0,E351-D351))*1440,0)</x:f>
        <x:v>439</x:v>
      </x:c>
      <x:c r="L351" t="n">
        <x:v>440</x:v>
      </x:c>
      <x:c r="M351" t="n">
        <x:f>K351-L351</x:f>
        <x:v>-1</x:v>
      </x:c>
      <x:c r="N351" t="n">
        <x:f>MAX(0,M351)</x:f>
        <x:v>0</x:v>
      </x:c>
      <x:c r="O351" t="n">
        <x:f>MAX(0,-M351)</x:f>
        <x:v>1</x:v>
      </x:c>
      <x:c r="P351" t="str">
        <x:v>Ponto registrado — complemento ilustrativo</x:v>
      </x:c>
      <x:c r="Q351" t="str">
        <x:v>Saída da CONFERÊNCIA DE CAIXA; entrada/intervalo simulados</x:v>
      </x:c>
      <x:c r="R351" t="str">
        <x:v>2026-04</x:v>
      </x:c>
    </x:row>
    <x:row r="352" ht="21" customHeight="1">
      <x:c r="A352" s="83" t="n">
        <x:v>46123</x:v>
      </x:c>
      <x:c r="B352" t="str">
        <x:v>sábado</x:v>
      </x:c>
      <x:c r="C352" s="85" t="n">
        <x:v>0.5402777777777777</x:v>
      </x:c>
      <x:c r="D352" s="85"/>
      <x:c r="E352" s="85"/>
      <x:c r="F352" s="85" t="n">
        <x:v>0.7083333333333334</x:v>
      </x:c>
      <x:c r="G352" t="str">
        <x:f>TEXT(INT(K352/60),"00")&amp;":"&amp;TEXT(MOD(K352,60),"00")</x:f>
        <x:v>04:02</x:v>
      </x:c>
      <x:c r="H352" t="str">
        <x:f>TEXT(INT(L352/60),"00")&amp;":"&amp;TEXT(MOD(L352,60),"00")</x:f>
        <x:v>04:00</x:v>
      </x:c>
      <x:c r="I352" t="str">
        <x:f>IF(N352&gt;0,"+"&amp;TEXT(INT(N352/60),"00")&amp;":"&amp;TEXT(MOD(N352,60),"00"),"00:00")</x:f>
        <x:v>+00:02</x:v>
      </x:c>
      <x:c r="J352" t="str">
        <x:f>IF(O352&gt;0,"-"&amp;TEXT(INT(O352/60),"00")&amp;":"&amp;TEXT(MOD(O352,60),"00"),"00:00")</x:f>
        <x:v>00:00</x:v>
      </x:c>
      <x:c r="K352" t="n">
        <x:f>ROUND((F352-C352-IF(OR(D352="",E352=""),0,E352-D352))*1440,0)</x:f>
        <x:v>242</x:v>
      </x:c>
      <x:c r="L352" t="n">
        <x:v>240</x:v>
      </x:c>
      <x:c r="M352" t="n">
        <x:f>K352-L352</x:f>
        <x:v>2</x:v>
      </x:c>
      <x:c r="N352" t="n">
        <x:f>MAX(0,M352)</x:f>
        <x:v>2</x:v>
      </x:c>
      <x:c r="O352" t="n">
        <x:f>MAX(0,-M352)</x:f>
        <x:v>0</x:v>
      </x:c>
      <x:c r="P352" t="str">
        <x:v>Ponto registrado — complemento ilustrativo</x:v>
      </x:c>
      <x:c r="Q352" t="str">
        <x:v>Saída da CONFERÊNCIA DE CAIXA; entrada/intervalo simulados</x:v>
      </x:c>
      <x:c r="R352" t="str">
        <x:v>2026-04</x:v>
      </x:c>
    </x:row>
    <x:row r="353" ht="21" customHeight="1">
      <x:c r="A353" s="83" t="n">
        <x:v>46125</x:v>
      </x:c>
      <x:c r="B353" t="str">
        <x:v>segunda-feira</x:v>
      </x:c>
      <x:c r="C353" s="85" t="n">
        <x:v>0.5465277777777777</x:v>
      </x:c>
      <x:c r="D353" s="85" t="n">
        <x:v>0.6722222222222223</x:v>
      </x:c>
      <x:c r="E353" s="85" t="n">
        <x:v>0.7159722222222222</x:v>
      </x:c>
      <x:c r="F353" s="85" t="n">
        <x:v>0.8888888888888888</x:v>
      </x:c>
      <x:c r="G353" t="str">
        <x:f>TEXT(INT(K353/60),"00")&amp;":"&amp;TEXT(MOD(K353,60),"00")</x:f>
        <x:v>07:10</x:v>
      </x:c>
      <x:c r="H353" t="str">
        <x:f>TEXT(INT(L353/60),"00")&amp;":"&amp;TEXT(MOD(L353,60),"00")</x:f>
        <x:v>07:20</x:v>
      </x:c>
      <x:c r="I353" t="str">
        <x:f>IF(N353&gt;0,"+"&amp;TEXT(INT(N353/60),"00")&amp;":"&amp;TEXT(MOD(N353,60),"00"),"00:00")</x:f>
        <x:v>00:00</x:v>
      </x:c>
      <x:c r="J353" t="str">
        <x:f>IF(O353&gt;0,"-"&amp;TEXT(INT(O353/60),"00")&amp;":"&amp;TEXT(MOD(O353,60),"00"),"00:00")</x:f>
        <x:v>-00:10</x:v>
      </x:c>
      <x:c r="K353" t="n">
        <x:f>ROUND((F353-C353-IF(OR(D353="",E353=""),0,E353-D353))*1440,0)</x:f>
        <x:v>430</x:v>
      </x:c>
      <x:c r="L353" t="n">
        <x:v>440</x:v>
      </x:c>
      <x:c r="M353" t="n">
        <x:f>K353-L353</x:f>
        <x:v>-10</x:v>
      </x:c>
      <x:c r="N353" t="n">
        <x:f>MAX(0,M353)</x:f>
        <x:v>0</x:v>
      </x:c>
      <x:c r="O353" t="n">
        <x:f>MAX(0,-M353)</x:f>
        <x:v>10</x:v>
      </x:c>
      <x:c r="P353" t="str">
        <x:v>Ponto registrado — complemento ilustrativo</x:v>
      </x:c>
      <x:c r="Q353" t="str">
        <x:v>Saída da CONFERÊNCIA DE CAIXA; entrada/intervalo simulados</x:v>
      </x:c>
      <x:c r="R353" t="str">
        <x:v>2026-04</x:v>
      </x:c>
    </x:row>
    <x:row r="354" ht="21" customHeight="1">
      <x:c r="A354" s="83" t="n">
        <x:v>46126</x:v>
      </x:c>
      <x:c r="B354" t="str">
        <x:v>terça-feira</x:v>
      </x:c>
      <x:c r="C354" s="85" t="n">
        <x:v>0.5375</x:v>
      </x:c>
      <x:c r="D354" s="85" t="n">
        <x:v>0.6743055555555556</x:v>
      </x:c>
      <x:c r="E354" s="85" t="n">
        <x:v>0.7138888888888889</x:v>
      </x:c>
      <x:c r="F354" s="85" t="n">
        <x:v>0.8888888888888888</x:v>
      </x:c>
      <x:c r="G354" t="str">
        <x:f>TEXT(INT(K354/60),"00")&amp;":"&amp;TEXT(MOD(K354,60),"00")</x:f>
        <x:v>07:29</x:v>
      </x:c>
      <x:c r="H354" t="str">
        <x:f>TEXT(INT(L354/60),"00")&amp;":"&amp;TEXT(MOD(L354,60),"00")</x:f>
        <x:v>07:20</x:v>
      </x:c>
      <x:c r="I354" t="str">
        <x:f>IF(N354&gt;0,"+"&amp;TEXT(INT(N354/60),"00")&amp;":"&amp;TEXT(MOD(N354,60),"00"),"00:00")</x:f>
        <x:v>+00:09</x:v>
      </x:c>
      <x:c r="J354" t="str">
        <x:f>IF(O354&gt;0,"-"&amp;TEXT(INT(O354/60),"00")&amp;":"&amp;TEXT(MOD(O354,60),"00"),"00:00")</x:f>
        <x:v>00:00</x:v>
      </x:c>
      <x:c r="K354" t="n">
        <x:f>ROUND((F354-C354-IF(OR(D354="",E354=""),0,E354-D354))*1440,0)</x:f>
        <x:v>449</x:v>
      </x:c>
      <x:c r="L354" t="n">
        <x:v>440</x:v>
      </x:c>
      <x:c r="M354" t="n">
        <x:f>K354-L354</x:f>
        <x:v>9</x:v>
      </x:c>
      <x:c r="N354" t="n">
        <x:f>MAX(0,M354)</x:f>
        <x:v>9</x:v>
      </x:c>
      <x:c r="O354" t="n">
        <x:f>MAX(0,-M354)</x:f>
        <x:v>0</x:v>
      </x:c>
      <x:c r="P354" t="str">
        <x:v>Ponto registrado — complemento ilustrativo</x:v>
      </x:c>
      <x:c r="Q354" t="str">
        <x:v>Saída da CONFERÊNCIA DE CAIXA; entrada/intervalo simulados</x:v>
      </x:c>
      <x:c r="R354" t="str">
        <x:v>2026-04</x:v>
      </x:c>
    </x:row>
    <x:row r="355" ht="21" customHeight="1">
      <x:c r="A355" s="83" t="n">
        <x:v>46127</x:v>
      </x:c>
      <x:c r="B355" t="str">
        <x:v>quarta-feira</x:v>
      </x:c>
      <x:c r="C355" s="85" t="n">
        <x:v>0.5444444444444444</x:v>
      </x:c>
      <x:c r="D355" s="85" t="n">
        <x:v>0.6680555555555555</x:v>
      </x:c>
      <x:c r="E355" s="85" t="n">
        <x:v>0.7083333333333334</x:v>
      </x:c>
      <x:c r="F355" s="85" t="n">
        <x:v>0.8888888888888888</x:v>
      </x:c>
      <x:c r="G355" t="str">
        <x:f>TEXT(INT(K355/60),"00")&amp;":"&amp;TEXT(MOD(K355,60),"00")</x:f>
        <x:v>07:18</x:v>
      </x:c>
      <x:c r="H355" t="str">
        <x:f>TEXT(INT(L355/60),"00")&amp;":"&amp;TEXT(MOD(L355,60),"00")</x:f>
        <x:v>07:20</x:v>
      </x:c>
      <x:c r="I355" t="str">
        <x:f>IF(N355&gt;0,"+"&amp;TEXT(INT(N355/60),"00")&amp;":"&amp;TEXT(MOD(N355,60),"00"),"00:00")</x:f>
        <x:v>00:00</x:v>
      </x:c>
      <x:c r="J355" t="str">
        <x:f>IF(O355&gt;0,"-"&amp;TEXT(INT(O355/60),"00")&amp;":"&amp;TEXT(MOD(O355,60),"00"),"00:00")</x:f>
        <x:v>-00:02</x:v>
      </x:c>
      <x:c r="K355" t="n">
        <x:f>ROUND((F355-C355-IF(OR(D355="",E355=""),0,E355-D355))*1440,0)</x:f>
        <x:v>438</x:v>
      </x:c>
      <x:c r="L355" t="n">
        <x:v>440</x:v>
      </x:c>
      <x:c r="M355" t="n">
        <x:f>K355-L355</x:f>
        <x:v>-2</x:v>
      </x:c>
      <x:c r="N355" t="n">
        <x:f>MAX(0,M355)</x:f>
        <x:v>0</x:v>
      </x:c>
      <x:c r="O355" t="n">
        <x:f>MAX(0,-M355)</x:f>
        <x:v>2</x:v>
      </x:c>
      <x:c r="P355" t="str">
        <x:v>Ponto registrado — complemento ilustrativo</x:v>
      </x:c>
      <x:c r="Q355" t="str">
        <x:v>Saída da CONFERÊNCIA DE CAIXA; entrada/intervalo simulados</x:v>
      </x:c>
      <x:c r="R355" t="str">
        <x:v>2026-04</x:v>
      </x:c>
    </x:row>
    <x:row r="356" ht="21" customHeight="1">
      <x:c r="A356" s="83" t="n">
        <x:v>46128</x:v>
      </x:c>
      <x:c r="B356" t="str">
        <x:v>quinta-feira</x:v>
      </x:c>
      <x:c r="C356" s="85" t="n">
        <x:v>0.5388888888888889</x:v>
      </x:c>
      <x:c r="D356" s="85" t="n">
        <x:v>0.6770833333333334</x:v>
      </x:c>
      <x:c r="E356" s="85" t="n">
        <x:v>0.7215277777777778</x:v>
      </x:c>
      <x:c r="F356" s="85" t="n">
        <x:v>0.8881944444444444</x:v>
      </x:c>
      <x:c r="G356" t="str">
        <x:f>TEXT(INT(K356/60),"00")&amp;":"&amp;TEXT(MOD(K356,60),"00")</x:f>
        <x:v>07:19</x:v>
      </x:c>
      <x:c r="H356" t="str">
        <x:f>TEXT(INT(L356/60),"00")&amp;":"&amp;TEXT(MOD(L356,60),"00")</x:f>
        <x:v>07:20</x:v>
      </x:c>
      <x:c r="I356" t="str">
        <x:f>IF(N356&gt;0,"+"&amp;TEXT(INT(N356/60),"00")&amp;":"&amp;TEXT(MOD(N356,60),"00"),"00:00")</x:f>
        <x:v>00:00</x:v>
      </x:c>
      <x:c r="J356" t="str">
        <x:f>IF(O356&gt;0,"-"&amp;TEXT(INT(O356/60),"00")&amp;":"&amp;TEXT(MOD(O356,60),"00"),"00:00")</x:f>
        <x:v>-00:01</x:v>
      </x:c>
      <x:c r="K356" t="n">
        <x:f>ROUND((F356-C356-IF(OR(D356="",E356=""),0,E356-D356))*1440,0)</x:f>
        <x:v>439</x:v>
      </x:c>
      <x:c r="L356" t="n">
        <x:v>440</x:v>
      </x:c>
      <x:c r="M356" t="n">
        <x:f>K356-L356</x:f>
        <x:v>-1</x:v>
      </x:c>
      <x:c r="N356" t="n">
        <x:f>MAX(0,M356)</x:f>
        <x:v>0</x:v>
      </x:c>
      <x:c r="O356" t="n">
        <x:f>MAX(0,-M356)</x:f>
        <x:v>1</x:v>
      </x:c>
      <x:c r="P356" t="str">
        <x:v>Ponto registrado — jornada revisada</x:v>
      </x:c>
      <x:c r="Q356" t="str">
        <x:v>Horários da planilha de jornadas revisada</x:v>
      </x:c>
      <x:c r="R356" t="str">
        <x:v>2026-04</x:v>
      </x:c>
    </x:row>
    <x:row r="357" ht="21" customHeight="1">
      <x:c r="A357" s="83" t="n">
        <x:v>46129</x:v>
      </x:c>
      <x:c r="B357" t="str">
        <x:v>sexta-feira</x:v>
      </x:c>
      <x:c r="C357" s="85" t="n">
        <x:v>0.5423611111111111</x:v>
      </x:c>
      <x:c r="D357" s="85" t="n">
        <x:v>0.6666666666666666</x:v>
      </x:c>
      <x:c r="E357" s="85" t="n">
        <x:v>0.7090277777777778</x:v>
      </x:c>
      <x:c r="F357" s="85" t="n">
        <x:v>0.8909722222222223</x:v>
      </x:c>
      <x:c r="G357" t="str">
        <x:f>TEXT(INT(K357/60),"00")&amp;":"&amp;TEXT(MOD(K357,60),"00")</x:f>
        <x:v>07:21</x:v>
      </x:c>
      <x:c r="H357" t="str">
        <x:f>TEXT(INT(L357/60),"00")&amp;":"&amp;TEXT(MOD(L357,60),"00")</x:f>
        <x:v>07:20</x:v>
      </x:c>
      <x:c r="I357" t="str">
        <x:f>IF(N357&gt;0,"+"&amp;TEXT(INT(N357/60),"00")&amp;":"&amp;TEXT(MOD(N357,60),"00"),"00:00")</x:f>
        <x:v>+00:01</x:v>
      </x:c>
      <x:c r="J357" t="str">
        <x:f>IF(O357&gt;0,"-"&amp;TEXT(INT(O357/60),"00")&amp;":"&amp;TEXT(MOD(O357,60),"00"),"00:00")</x:f>
        <x:v>00:00</x:v>
      </x:c>
      <x:c r="K357" t="n">
        <x:f>ROUND((F357-C357-IF(OR(D357="",E357=""),0,E357-D357))*1440,0)</x:f>
        <x:v>441</x:v>
      </x:c>
      <x:c r="L357" t="n">
        <x:v>440</x:v>
      </x:c>
      <x:c r="M357" t="n">
        <x:f>K357-L357</x:f>
        <x:v>1</x:v>
      </x:c>
      <x:c r="N357" t="n">
        <x:f>MAX(0,M357)</x:f>
        <x:v>1</x:v>
      </x:c>
      <x:c r="O357" t="n">
        <x:f>MAX(0,-M357)</x:f>
        <x:v>0</x:v>
      </x:c>
      <x:c r="P357" t="str">
        <x:v>Ponto registrado — complemento ilustrativo</x:v>
      </x:c>
      <x:c r="Q357" t="str">
        <x:v>Saída da CONFERÊNCIA DE CAIXA; entrada/intervalo simulados</x:v>
      </x:c>
      <x:c r="R357" t="str">
        <x:v>2026-04</x:v>
      </x:c>
    </x:row>
    <x:row r="358" ht="21" customHeight="1">
      <x:c r="A358" s="83" t="n">
        <x:v>46130</x:v>
      </x:c>
      <x:c r="B358" t="str">
        <x:v>sábado</x:v>
      </x:c>
      <x:c r="C358" s="85" t="n">
        <x:v>0.5472222222222223</x:v>
      </x:c>
      <x:c r="D358" s="85" t="n">
        <x:v>0.6736111111111112</x:v>
      </x:c>
      <x:c r="E358" s="85" t="n">
        <x:v>0.6840277777777778</x:v>
      </x:c>
      <x:c r="F358" s="85" t="n">
        <x:v>0.7090277777777778</x:v>
      </x:c>
      <x:c r="G358" t="str">
        <x:f>TEXT(INT(K358/60),"00")&amp;":"&amp;TEXT(MOD(K358,60),"00")</x:f>
        <x:v>03:38</x:v>
      </x:c>
      <x:c r="H358" t="str">
        <x:f>TEXT(INT(L358/60),"00")&amp;":"&amp;TEXT(MOD(L358,60),"00")</x:f>
        <x:v>04:00</x:v>
      </x:c>
      <x:c r="I358" t="str">
        <x:f>IF(N358&gt;0,"+"&amp;TEXT(INT(N358/60),"00")&amp;":"&amp;TEXT(MOD(N358,60),"00"),"00:00")</x:f>
        <x:v>00:00</x:v>
      </x:c>
      <x:c r="J358" t="str">
        <x:f>IF(O358&gt;0,"-"&amp;TEXT(INT(O358/60),"00")&amp;":"&amp;TEXT(MOD(O358,60),"00"),"00:00")</x:f>
        <x:v>-00:22</x:v>
      </x:c>
      <x:c r="K358" t="n">
        <x:f>ROUND((F358-C358-IF(OR(D358="",E358=""),0,E358-D358))*1440,0)</x:f>
        <x:v>218</x:v>
      </x:c>
      <x:c r="L358" t="n">
        <x:v>240</x:v>
      </x:c>
      <x:c r="M358" t="n">
        <x:f>K358-L358</x:f>
        <x:v>-22</x:v>
      </x:c>
      <x:c r="N358" t="n">
        <x:f>MAX(0,M358)</x:f>
        <x:v>0</x:v>
      </x:c>
      <x:c r="O358" t="n">
        <x:f>MAX(0,-M358)</x:f>
        <x:v>22</x:v>
      </x:c>
      <x:c r="P358" t="str">
        <x:v>Ponto registrado — complemento ilustrativo</x:v>
      </x:c>
      <x:c r="Q358" t="str">
        <x:v>Saída da CONFERÊNCIA DE CAIXA; entrada/intervalo simulados</x:v>
      </x:c>
      <x:c r="R358" t="str">
        <x:v>2026-04</x:v>
      </x:c>
    </x:row>
    <x:row r="359" ht="21" customHeight="1">
      <x:c r="A359" s="83" t="n">
        <x:v>46132</x:v>
      </x:c>
      <x:c r="B359" t="str">
        <x:v>segunda-feira</x:v>
      </x:c>
      <x:c r="C359" s="85" t="n">
        <x:v>0.5472222222222223</x:v>
      </x:c>
      <x:c r="D359" s="85" t="n">
        <x:v>0.68125</x:v>
      </x:c>
      <x:c r="E359" s="85" t="n">
        <x:v>0.7222222222222222</x:v>
      </x:c>
      <x:c r="F359" s="85" t="n">
        <x:v>0.8881944444444444</x:v>
      </x:c>
      <x:c r="G359" t="str">
        <x:f>TEXT(INT(K359/60),"00")&amp;":"&amp;TEXT(MOD(K359,60),"00")</x:f>
        <x:v>07:12</x:v>
      </x:c>
      <x:c r="H359" t="str">
        <x:f>TEXT(INT(L359/60),"00")&amp;":"&amp;TEXT(MOD(L359,60),"00")</x:f>
        <x:v>07:20</x:v>
      </x:c>
      <x:c r="I359" t="str">
        <x:f>IF(N359&gt;0,"+"&amp;TEXT(INT(N359/60),"00")&amp;":"&amp;TEXT(MOD(N359,60),"00"),"00:00")</x:f>
        <x:v>00:00</x:v>
      </x:c>
      <x:c r="J359" t="str">
        <x:f>IF(O359&gt;0,"-"&amp;TEXT(INT(O359/60),"00")&amp;":"&amp;TEXT(MOD(O359,60),"00"),"00:00")</x:f>
        <x:v>-00:08</x:v>
      </x:c>
      <x:c r="K359" t="n">
        <x:f>ROUND((F359-C359-IF(OR(D359="",E359=""),0,E359-D359))*1440,0)</x:f>
        <x:v>432</x:v>
      </x:c>
      <x:c r="L359" t="n">
        <x:v>440</x:v>
      </x:c>
      <x:c r="M359" t="n">
        <x:f>K359-L359</x:f>
        <x:v>-8</x:v>
      </x:c>
      <x:c r="N359" t="n">
        <x:f>MAX(0,M359)</x:f>
        <x:v>0</x:v>
      </x:c>
      <x:c r="O359" t="n">
        <x:f>MAX(0,-M359)</x:f>
        <x:v>8</x:v>
      </x:c>
      <x:c r="P359" t="str">
        <x:v>Ponto registrado — complemento ilustrativo</x:v>
      </x:c>
      <x:c r="Q359" t="str">
        <x:v>Saída da CONFERÊNCIA DE CAIXA; entrada/intervalo simulados</x:v>
      </x:c>
      <x:c r="R359" t="str">
        <x:v>2026-04</x:v>
      </x:c>
    </x:row>
    <x:row r="360" ht="21" customHeight="1">
      <x:c r="A360" s="83" t="n">
        <x:v>46133</x:v>
      </x:c>
      <x:c r="B360" t="str">
        <x:v>terça-feira</x:v>
      </x:c>
      <x:c r="C360" s="85" t="n">
        <x:v>0.5388888888888889</x:v>
      </x:c>
      <x:c r="D360" s="85" t="n">
        <x:v>0.6680555555555555</x:v>
      </x:c>
      <x:c r="E360" s="85" t="n">
        <x:v>0.7076388888888889</x:v>
      </x:c>
      <x:c r="F360" s="85" t="n">
        <x:v>0.8895833333333333</x:v>
      </x:c>
      <x:c r="G360" t="str">
        <x:f>TEXT(INT(K360/60),"00")&amp;":"&amp;TEXT(MOD(K360,60),"00")</x:f>
        <x:v>07:28</x:v>
      </x:c>
      <x:c r="H360" t="str">
        <x:f>TEXT(INT(L360/60),"00")&amp;":"&amp;TEXT(MOD(L360,60),"00")</x:f>
        <x:v>07:20</x:v>
      </x:c>
      <x:c r="I360" t="str">
        <x:f>IF(N360&gt;0,"+"&amp;TEXT(INT(N360/60),"00")&amp;":"&amp;TEXT(MOD(N360,60),"00"),"00:00")</x:f>
        <x:v>+00:08</x:v>
      </x:c>
      <x:c r="J360" t="str">
        <x:f>IF(O360&gt;0,"-"&amp;TEXT(INT(O360/60),"00")&amp;":"&amp;TEXT(MOD(O360,60),"00"),"00:00")</x:f>
        <x:v>00:00</x:v>
      </x:c>
      <x:c r="K360" t="n">
        <x:f>ROUND((F360-C360-IF(OR(D360="",E360=""),0,E360-D360))*1440,0)</x:f>
        <x:v>448</x:v>
      </x:c>
      <x:c r="L360" t="n">
        <x:v>440</x:v>
      </x:c>
      <x:c r="M360" t="n">
        <x:f>K360-L360</x:f>
        <x:v>8</x:v>
      </x:c>
      <x:c r="N360" t="n">
        <x:f>MAX(0,M360)</x:f>
        <x:v>8</x:v>
      </x:c>
      <x:c r="O360" t="n">
        <x:f>MAX(0,-M360)</x:f>
        <x:v>0</x:v>
      </x:c>
      <x:c r="P360" t="str">
        <x:v>Ponto registrado — complemento ilustrativo</x:v>
      </x:c>
      <x:c r="Q360" t="str">
        <x:v>Saída da CONFERÊNCIA DE CAIXA; entrada/intervalo simulados</x:v>
      </x:c>
      <x:c r="R360" t="str">
        <x:v>2026-04</x:v>
      </x:c>
    </x:row>
    <x:row r="361" ht="21" customHeight="1">
      <x:c r="A361" s="83" t="n">
        <x:v>46134</x:v>
      </x:c>
      <x:c r="B361" t="str">
        <x:v>quarta-feira</x:v>
      </x:c>
      <x:c r="C361" s="85" t="n">
        <x:v>0.5409722222222222</x:v>
      </x:c>
      <x:c r="D361" s="85" t="n">
        <x:v>0.6756944444444445</x:v>
      </x:c>
      <x:c r="E361" s="85" t="n">
        <x:v>0.7152777777777778</x:v>
      </x:c>
      <x:c r="F361" s="85" t="n">
        <x:v>0.8895833333333333</x:v>
      </x:c>
      <x:c r="G361" t="str">
        <x:f>TEXT(INT(K361/60),"00")&amp;":"&amp;TEXT(MOD(K361,60),"00")</x:f>
        <x:v>07:25</x:v>
      </x:c>
      <x:c r="H361" t="str">
        <x:f>TEXT(INT(L361/60),"00")&amp;":"&amp;TEXT(MOD(L361,60),"00")</x:f>
        <x:v>07:20</x:v>
      </x:c>
      <x:c r="I361" t="str">
        <x:f>IF(N361&gt;0,"+"&amp;TEXT(INT(N361/60),"00")&amp;":"&amp;TEXT(MOD(N361,60),"00"),"00:00")</x:f>
        <x:v>+00:05</x:v>
      </x:c>
      <x:c r="J361" t="str">
        <x:f>IF(O361&gt;0,"-"&amp;TEXT(INT(O361/60),"00")&amp;":"&amp;TEXT(MOD(O361,60),"00"),"00:00")</x:f>
        <x:v>00:00</x:v>
      </x:c>
      <x:c r="K361" t="n">
        <x:f>ROUND((F361-C361-IF(OR(D361="",E361=""),0,E361-D361))*1440,0)</x:f>
        <x:v>445</x:v>
      </x:c>
      <x:c r="L361" t="n">
        <x:v>440</x:v>
      </x:c>
      <x:c r="M361" t="n">
        <x:f>K361-L361</x:f>
        <x:v>5</x:v>
      </x:c>
      <x:c r="N361" t="n">
        <x:f>MAX(0,M361)</x:f>
        <x:v>5</x:v>
      </x:c>
      <x:c r="O361" t="n">
        <x:f>MAX(0,-M361)</x:f>
        <x:v>0</x:v>
      </x:c>
      <x:c r="P361" t="str">
        <x:v>Ponto registrado — complemento ilustrativo</x:v>
      </x:c>
      <x:c r="Q361" t="str">
        <x:v>Saída da CONFERÊNCIA DE CAIXA; entrada/intervalo simulados</x:v>
      </x:c>
      <x:c r="R361" t="str">
        <x:v>2026-04</x:v>
      </x:c>
    </x:row>
    <x:row r="362" ht="21" customHeight="1">
      <x:c r="A362" s="83" t="n">
        <x:v>46135</x:v>
      </x:c>
      <x:c r="B362" t="str">
        <x:v>quinta-feira</x:v>
      </x:c>
      <x:c r="C362" s="85" t="n">
        <x:v>0.5395833333333333</x:v>
      </x:c>
      <x:c r="D362" s="85" t="n">
        <x:v>0.6736111111111112</x:v>
      </x:c>
      <x:c r="E362" s="85" t="n">
        <x:v>0.7152777777777778</x:v>
      </x:c>
      <x:c r="F362" s="85" t="n">
        <x:v>0.8868055555555555</x:v>
      </x:c>
      <x:c r="G362" t="str">
        <x:f>TEXT(INT(K362/60),"00")&amp;":"&amp;TEXT(MOD(K362,60),"00")</x:f>
        <x:v>07:20</x:v>
      </x:c>
      <x:c r="H362" t="str">
        <x:f>TEXT(INT(L362/60),"00")&amp;":"&amp;TEXT(MOD(L362,60),"00")</x:f>
        <x:v>07:20</x:v>
      </x:c>
      <x:c r="I362" t="str">
        <x:f>IF(N362&gt;0,"+"&amp;TEXT(INT(N362/60),"00")&amp;":"&amp;TEXT(MOD(N362,60),"00"),"00:00")</x:f>
        <x:v>00:00</x:v>
      </x:c>
      <x:c r="J362" t="str">
        <x:f>IF(O362&gt;0,"-"&amp;TEXT(INT(O362/60),"00")&amp;":"&amp;TEXT(MOD(O362,60),"00"),"00:00")</x:f>
        <x:v>00:00</x:v>
      </x:c>
      <x:c r="K362" t="n">
        <x:f>ROUND((F362-C362-IF(OR(D362="",E362=""),0,E362-D362))*1440,0)</x:f>
        <x:v>440</x:v>
      </x:c>
      <x:c r="L362" t="n">
        <x:v>440</x:v>
      </x:c>
      <x:c r="M362" t="n">
        <x:f>K362-L362</x:f>
        <x:v>0</x:v>
      </x:c>
      <x:c r="N362" t="n">
        <x:f>MAX(0,M362)</x:f>
        <x:v>0</x:v>
      </x:c>
      <x:c r="O362" t="n">
        <x:f>MAX(0,-M362)</x:f>
        <x:v>0</x:v>
      </x:c>
      <x:c r="P362" t="str">
        <x:v>Ponto registrado — complemento ilustrativo</x:v>
      </x:c>
      <x:c r="Q362" t="str">
        <x:v>Saída da CONFERÊNCIA DE CAIXA; entrada/intervalo simulados</x:v>
      </x:c>
      <x:c r="R362" t="str">
        <x:v>2026-04</x:v>
      </x:c>
    </x:row>
    <x:row r="363" ht="21" customHeight="1">
      <x:c r="A363" s="83" t="n">
        <x:v>46136</x:v>
      </x:c>
      <x:c r="B363" t="str">
        <x:v>sexta-feira</x:v>
      </x:c>
      <x:c r="C363" s="85" t="n">
        <x:v>0.5402777777777777</x:v>
      </x:c>
      <x:c r="D363" s="85" t="n">
        <x:v>0.68125</x:v>
      </x:c>
      <x:c r="E363" s="85" t="n">
        <x:v>0.7256944444444444</x:v>
      </x:c>
      <x:c r="F363" s="85" t="n">
        <x:v>0.8868055555555555</x:v>
      </x:c>
      <x:c r="G363" t="str">
        <x:f>TEXT(INT(K363/60),"00")&amp;":"&amp;TEXT(MOD(K363,60),"00")</x:f>
        <x:v>07:15</x:v>
      </x:c>
      <x:c r="H363" t="str">
        <x:f>TEXT(INT(L363/60),"00")&amp;":"&amp;TEXT(MOD(L363,60),"00")</x:f>
        <x:v>07:20</x:v>
      </x:c>
      <x:c r="I363" t="str">
        <x:f>IF(N363&gt;0,"+"&amp;TEXT(INT(N363/60),"00")&amp;":"&amp;TEXT(MOD(N363,60),"00"),"00:00")</x:f>
        <x:v>00:00</x:v>
      </x:c>
      <x:c r="J363" t="str">
        <x:f>IF(O363&gt;0,"-"&amp;TEXT(INT(O363/60),"00")&amp;":"&amp;TEXT(MOD(O363,60),"00"),"00:00")</x:f>
        <x:v>-00:05</x:v>
      </x:c>
      <x:c r="K363" t="n">
        <x:f>ROUND((F363-C363-IF(OR(D363="",E363=""),0,E363-D363))*1440,0)</x:f>
        <x:v>435</x:v>
      </x:c>
      <x:c r="L363" t="n">
        <x:v>440</x:v>
      </x:c>
      <x:c r="M363" t="n">
        <x:f>K363-L363</x:f>
        <x:v>-5</x:v>
      </x:c>
      <x:c r="N363" t="n">
        <x:f>MAX(0,M363)</x:f>
        <x:v>0</x:v>
      </x:c>
      <x:c r="O363" t="n">
        <x:f>MAX(0,-M363)</x:f>
        <x:v>5</x:v>
      </x:c>
      <x:c r="P363" t="str">
        <x:v>Ponto registrado — complemento ilustrativo</x:v>
      </x:c>
      <x:c r="Q363" t="str">
        <x:v>Saída da CONFERÊNCIA DE CAIXA; entrada/intervalo simulados</x:v>
      </x:c>
      <x:c r="R363" t="str">
        <x:v>2026-04</x:v>
      </x:c>
    </x:row>
    <x:row r="364" ht="21" customHeight="1">
      <x:c r="A364" s="83" t="n">
        <x:v>46137</x:v>
      </x:c>
      <x:c r="B364" t="str">
        <x:v>sábado</x:v>
      </x:c>
      <x:c r="C364" s="85" t="n">
        <x:v>0.5472222222222223</x:v>
      </x:c>
      <x:c r="D364" s="85" t="n">
        <x:v>0.6770833333333334</x:v>
      </x:c>
      <x:c r="E364" s="85" t="n">
        <x:v>0.6875</x:v>
      </x:c>
      <x:c r="F364" s="85" t="n">
        <x:v>0.7111111111111111</x:v>
      </x:c>
      <x:c r="G364" t="str">
        <x:f>TEXT(INT(K364/60),"00")&amp;":"&amp;TEXT(MOD(K364,60),"00")</x:f>
        <x:v>03:41</x:v>
      </x:c>
      <x:c r="H364" t="str">
        <x:f>TEXT(INT(L364/60),"00")&amp;":"&amp;TEXT(MOD(L364,60),"00")</x:f>
        <x:v>04:00</x:v>
      </x:c>
      <x:c r="I364" t="str">
        <x:f>IF(N364&gt;0,"+"&amp;TEXT(INT(N364/60),"00")&amp;":"&amp;TEXT(MOD(N364,60),"00"),"00:00")</x:f>
        <x:v>00:00</x:v>
      </x:c>
      <x:c r="J364" t="str">
        <x:f>IF(O364&gt;0,"-"&amp;TEXT(INT(O364/60),"00")&amp;":"&amp;TEXT(MOD(O364,60),"00"),"00:00")</x:f>
        <x:v>-00:19</x:v>
      </x:c>
      <x:c r="K364" t="n">
        <x:f>ROUND((F364-C364-IF(OR(D364="",E364=""),0,E364-D364))*1440,0)</x:f>
        <x:v>221</x:v>
      </x:c>
      <x:c r="L364" t="n">
        <x:v>240</x:v>
      </x:c>
      <x:c r="M364" t="n">
        <x:f>K364-L364</x:f>
        <x:v>-19</x:v>
      </x:c>
      <x:c r="N364" t="n">
        <x:f>MAX(0,M364)</x:f>
        <x:v>0</x:v>
      </x:c>
      <x:c r="O364" t="n">
        <x:f>MAX(0,-M364)</x:f>
        <x:v>19</x:v>
      </x:c>
      <x:c r="P364" t="str">
        <x:v>Ponto registrado — complemento ilustrativo</x:v>
      </x:c>
      <x:c r="Q364" t="str">
        <x:v>Saída da CONFERÊNCIA DE CAIXA; entrada/intervalo simulados</x:v>
      </x:c>
      <x:c r="R364" t="str">
        <x:v>2026-04</x:v>
      </x:c>
    </x:row>
    <x:row r="365" ht="21" customHeight="1">
      <x:c r="A365" s="83" t="n">
        <x:v>46139</x:v>
      </x:c>
      <x:c r="B365" t="str">
        <x:v>segunda-feira</x:v>
      </x:c>
      <x:c r="C365" s="85" t="n">
        <x:v>0.5423611111111111</x:v>
      </x:c>
      <x:c r="D365" s="85" t="n">
        <x:v>0.6715277777777777</x:v>
      </x:c>
      <x:c r="E365" s="85" t="n">
        <x:v>0.7118055555555556</x:v>
      </x:c>
      <x:c r="F365" s="85" t="n">
        <x:v>0.8895833333333333</x:v>
      </x:c>
      <x:c r="G365" t="str">
        <x:f>TEXT(INT(K365/60),"00")&amp;":"&amp;TEXT(MOD(K365,60),"00")</x:f>
        <x:v>07:22</x:v>
      </x:c>
      <x:c r="H365" t="str">
        <x:f>TEXT(INT(L365/60),"00")&amp;":"&amp;TEXT(MOD(L365,60),"00")</x:f>
        <x:v>07:20</x:v>
      </x:c>
      <x:c r="I365" t="str">
        <x:f>IF(N365&gt;0,"+"&amp;TEXT(INT(N365/60),"00")&amp;":"&amp;TEXT(MOD(N365,60),"00"),"00:00")</x:f>
        <x:v>+00:02</x:v>
      </x:c>
      <x:c r="J365" t="str">
        <x:f>IF(O365&gt;0,"-"&amp;TEXT(INT(O365/60),"00")&amp;":"&amp;TEXT(MOD(O365,60),"00"),"00:00")</x:f>
        <x:v>00:00</x:v>
      </x:c>
      <x:c r="K365" t="n">
        <x:f>ROUND((F365-C365-IF(OR(D365="",E365=""),0,E365-D365))*1440,0)</x:f>
        <x:v>442</x:v>
      </x:c>
      <x:c r="L365" t="n">
        <x:v>440</x:v>
      </x:c>
      <x:c r="M365" t="n">
        <x:f>K365-L365</x:f>
        <x:v>2</x:v>
      </x:c>
      <x:c r="N365" t="n">
        <x:f>MAX(0,M365)</x:f>
        <x:v>2</x:v>
      </x:c>
      <x:c r="O365" t="n">
        <x:f>MAX(0,-M365)</x:f>
        <x:v>0</x:v>
      </x:c>
      <x:c r="P365" t="str">
        <x:v>Ponto registrado — complemento ilustrativo</x:v>
      </x:c>
      <x:c r="Q365" t="str">
        <x:v>Saída da CONFERÊNCIA DE CAIXA; entrada/intervalo simulados</x:v>
      </x:c>
      <x:c r="R365" t="str">
        <x:v>2026-04</x:v>
      </x:c>
    </x:row>
    <x:row r="366" ht="21" customHeight="1">
      <x:c r="A366" s="83" t="n">
        <x:v>46140</x:v>
      </x:c>
      <x:c r="B366" t="str">
        <x:v>terça-feira</x:v>
      </x:c>
      <x:c r="C366" s="85" t="n">
        <x:v>0.5444444444444444</x:v>
      </x:c>
      <x:c r="D366" s="85" t="n">
        <x:v>0.6666666666666666</x:v>
      </x:c>
      <x:c r="E366" s="85" t="n">
        <x:v>0.7076388888888889</x:v>
      </x:c>
      <x:c r="F366" s="85" t="n">
        <x:v>0.8861111111111111</x:v>
      </x:c>
      <x:c r="G366" t="str">
        <x:f>TEXT(INT(K366/60),"00")&amp;":"&amp;TEXT(MOD(K366,60),"00")</x:f>
        <x:v>07:13</x:v>
      </x:c>
      <x:c r="H366" t="str">
        <x:f>TEXT(INT(L366/60),"00")&amp;":"&amp;TEXT(MOD(L366,60),"00")</x:f>
        <x:v>07:20</x:v>
      </x:c>
      <x:c r="I366" t="str">
        <x:f>IF(N366&gt;0,"+"&amp;TEXT(INT(N366/60),"00")&amp;":"&amp;TEXT(MOD(N366,60),"00"),"00:00")</x:f>
        <x:v>00:00</x:v>
      </x:c>
      <x:c r="J366" t="str">
        <x:f>IF(O366&gt;0,"-"&amp;TEXT(INT(O366/60),"00")&amp;":"&amp;TEXT(MOD(O366,60),"00"),"00:00")</x:f>
        <x:v>-00:07</x:v>
      </x:c>
      <x:c r="K366" t="n">
        <x:f>ROUND((F366-C366-IF(OR(D366="",E366=""),0,E366-D366))*1440,0)</x:f>
        <x:v>433</x:v>
      </x:c>
      <x:c r="L366" t="n">
        <x:v>440</x:v>
      </x:c>
      <x:c r="M366" t="n">
        <x:f>K366-L366</x:f>
        <x:v>-7</x:v>
      </x:c>
      <x:c r="N366" t="n">
        <x:f>MAX(0,M366)</x:f>
        <x:v>0</x:v>
      </x:c>
      <x:c r="O366" t="n">
        <x:f>MAX(0,-M366)</x:f>
        <x:v>7</x:v>
      </x:c>
      <x:c r="P366" t="str">
        <x:v>Ponto registrado — jornada revisada</x:v>
      </x:c>
      <x:c r="Q366" t="str">
        <x:v>Horários da planilha de jornadas revisada</x:v>
      </x:c>
      <x:c r="R366" t="str">
        <x:v>2026-04</x:v>
      </x:c>
    </x:row>
    <x:row r="367" ht="21" customHeight="1">
      <x:c r="A367" s="83" t="n">
        <x:v>46141</x:v>
      </x:c>
      <x:c r="B367" t="str">
        <x:v>quarta-feira</x:v>
      </x:c>
      <x:c r="C367" s="85" t="n">
        <x:v>0.5375</x:v>
      </x:c>
      <x:c r="D367" s="85" t="n">
        <x:v>0.6777777777777778</x:v>
      </x:c>
      <x:c r="E367" s="85" t="n">
        <x:v>0.7166666666666667</x:v>
      </x:c>
      <x:c r="F367" s="85" t="n">
        <x:v>0.8888888888888888</x:v>
      </x:c>
      <x:c r="G367" t="str">
        <x:f>TEXT(INT(K367/60),"00")&amp;":"&amp;TEXT(MOD(K367,60),"00")</x:f>
        <x:v>07:30</x:v>
      </x:c>
      <x:c r="H367" t="str">
        <x:f>TEXT(INT(L367/60),"00")&amp;":"&amp;TEXT(MOD(L367,60),"00")</x:f>
        <x:v>07:20</x:v>
      </x:c>
      <x:c r="I367" t="str">
        <x:f>IF(N367&gt;0,"+"&amp;TEXT(INT(N367/60),"00")&amp;":"&amp;TEXT(MOD(N367,60),"00"),"00:00")</x:f>
        <x:v>+00:10</x:v>
      </x:c>
      <x:c r="J367" t="str">
        <x:f>IF(O367&gt;0,"-"&amp;TEXT(INT(O367/60),"00")&amp;":"&amp;TEXT(MOD(O367,60),"00"),"00:00")</x:f>
        <x:v>00:00</x:v>
      </x:c>
      <x:c r="K367" t="n">
        <x:f>ROUND((F367-C367-IF(OR(D367="",E367=""),0,E367-D367))*1440,0)</x:f>
        <x:v>450</x:v>
      </x:c>
      <x:c r="L367" t="n">
        <x:v>440</x:v>
      </x:c>
      <x:c r="M367" t="n">
        <x:f>K367-L367</x:f>
        <x:v>10</x:v>
      </x:c>
      <x:c r="N367" t="n">
        <x:f>MAX(0,M367)</x:f>
        <x:v>10</x:v>
      </x:c>
      <x:c r="O367" t="n">
        <x:f>MAX(0,-M367)</x:f>
        <x:v>0</x:v>
      </x:c>
      <x:c r="P367" t="str">
        <x:v>Ponto registrado — complemento ilustrativo</x:v>
      </x:c>
      <x:c r="Q367" t="str">
        <x:v>Saída da CONFERÊNCIA DE CAIXA; entrada/intervalo simulados</x:v>
      </x:c>
      <x:c r="R367" t="str">
        <x:v>2026-04</x:v>
      </x:c>
    </x:row>
    <x:row r="368" ht="21" customHeight="1">
      <x:c r="A368" s="83" t="n">
        <x:v>46142</x:v>
      </x:c>
      <x:c r="B368" t="str">
        <x:v>quinta-feira</x:v>
      </x:c>
      <x:c r="C368" s="85" t="n">
        <x:v>0.5465277777777777</x:v>
      </x:c>
      <x:c r="D368" s="85" t="n">
        <x:v>0.6736111111111112</x:v>
      </x:c>
      <x:c r="E368" s="85" t="n">
        <x:v>0.7138888888888889</x:v>
      </x:c>
      <x:c r="F368" s="85" t="n">
        <x:v>0.8875</x:v>
      </x:c>
      <x:c r="G368" t="str">
        <x:f>TEXT(INT(K368/60),"00")&amp;":"&amp;TEXT(MOD(K368,60),"00")</x:f>
        <x:v>07:13</x:v>
      </x:c>
      <x:c r="H368" t="str">
        <x:f>TEXT(INT(L368/60),"00")&amp;":"&amp;TEXT(MOD(L368,60),"00")</x:f>
        <x:v>07:20</x:v>
      </x:c>
      <x:c r="I368" t="str">
        <x:f>IF(N368&gt;0,"+"&amp;TEXT(INT(N368/60),"00")&amp;":"&amp;TEXT(MOD(N368,60),"00"),"00:00")</x:f>
        <x:v>00:00</x:v>
      </x:c>
      <x:c r="J368" t="str">
        <x:f>IF(O368&gt;0,"-"&amp;TEXT(INT(O368/60),"00")&amp;":"&amp;TEXT(MOD(O368,60),"00"),"00:00")</x:f>
        <x:v>-00:07</x:v>
      </x:c>
      <x:c r="K368" t="n">
        <x:f>ROUND((F368-C368-IF(OR(D368="",E368=""),0,E368-D368))*1440,0)</x:f>
        <x:v>433</x:v>
      </x:c>
      <x:c r="L368" t="n">
        <x:v>440</x:v>
      </x:c>
      <x:c r="M368" t="n">
        <x:f>K368-L368</x:f>
        <x:v>-7</x:v>
      </x:c>
      <x:c r="N368" t="n">
        <x:f>MAX(0,M368)</x:f>
        <x:v>0</x:v>
      </x:c>
      <x:c r="O368" t="n">
        <x:f>MAX(0,-M368)</x:f>
        <x:v>7</x:v>
      </x:c>
      <x:c r="P368" t="str">
        <x:v>Ponto registrado — complemento ilustrativo</x:v>
      </x:c>
      <x:c r="Q368" t="str">
        <x:v>Saída da CONFERÊNCIA DE CAIXA; entrada/intervalo simulados</x:v>
      </x:c>
      <x:c r="R368" t="str">
        <x:v>2026-04</x:v>
      </x:c>
    </x:row>
    <x:row r="369" ht="21" customHeight="1">
      <x:c r="A369" s="83" t="n">
        <x:v>46143</x:v>
      </x:c>
      <x:c r="B369" t="str">
        <x:v>sexta-feira</x:v>
      </x:c>
      <x:c r="C369" s="85" t="n">
        <x:v>0.5375</x:v>
      </x:c>
      <x:c r="D369" s="85" t="n">
        <x:v>0.675</x:v>
      </x:c>
      <x:c r="E369" s="85" t="n">
        <x:v>0.71875</x:v>
      </x:c>
      <x:c r="F369" s="85" t="n">
        <x:v>0.8798611111111111</x:v>
      </x:c>
      <x:c r="G369" t="str">
        <x:f>TEXT(INT(K369/60),"00")&amp;":"&amp;TEXT(MOD(K369,60),"00")</x:f>
        <x:v>07:10</x:v>
      </x:c>
      <x:c r="H369" t="str">
        <x:f>TEXT(INT(L369/60),"00")&amp;":"&amp;TEXT(MOD(L369,60),"00")</x:f>
        <x:v>07:20</x:v>
      </x:c>
      <x:c r="I369" t="str">
        <x:f>IF(N369&gt;0,"+"&amp;TEXT(INT(N369/60),"00")&amp;":"&amp;TEXT(MOD(N369,60),"00"),"00:00")</x:f>
        <x:v>00:00</x:v>
      </x:c>
      <x:c r="J369" t="str">
        <x:f>IF(O369&gt;0,"-"&amp;TEXT(INT(O369/60),"00")&amp;":"&amp;TEXT(MOD(O369,60),"00"),"00:00")</x:f>
        <x:v>-00:10</x:v>
      </x:c>
      <x:c r="K369" t="n">
        <x:f>ROUND((F369-C369-IF(OR(D369="",E369=""),0,E369-D369))*1440,0)</x:f>
        <x:v>430</x:v>
      </x:c>
      <x:c r="L369" t="n">
        <x:v>440</x:v>
      </x:c>
      <x:c r="M369" t="n">
        <x:f>K369-L369</x:f>
        <x:v>-10</x:v>
      </x:c>
      <x:c r="N369" t="n">
        <x:f>MAX(0,M369)</x:f>
        <x:v>0</x:v>
      </x:c>
      <x:c r="O369" t="n">
        <x:f>MAX(0,-M369)</x:f>
        <x:v>10</x:v>
      </x:c>
      <x:c r="P369" t="str">
        <x:v>Ponto registrado — complemento ilustrativo</x:v>
      </x:c>
      <x:c r="Q369" t="str">
        <x:v>Saída da CONFERÊNCIA DE CAIXA; entrada/intervalo simulados</x:v>
      </x:c>
      <x:c r="R369" t="str">
        <x:v>2026-05</x:v>
      </x:c>
    </x:row>
    <x:row r="370" ht="21" customHeight="1">
      <x:c r="A370" s="83" t="n">
        <x:v>46144</x:v>
      </x:c>
      <x:c r="B370" t="str">
        <x:v>sábado</x:v>
      </x:c>
      <x:c r="C370" s="85" t="n">
        <x:v>0.5465277777777777</x:v>
      </x:c>
      <x:c r="D370" s="85" t="n">
        <x:v>0.6493055555555556</x:v>
      </x:c>
      <x:c r="E370" s="85" t="n">
        <x:v>0.6597222222222222</x:v>
      </x:c>
      <x:c r="F370" s="85" t="n">
        <x:v>0.7111111111111111</x:v>
      </x:c>
      <x:c r="G370" t="str">
        <x:f>TEXT(INT(K370/60),"00")&amp;":"&amp;TEXT(MOD(K370,60),"00")</x:f>
        <x:v>03:42</x:v>
      </x:c>
      <x:c r="H370" t="str">
        <x:f>TEXT(INT(L370/60),"00")&amp;":"&amp;TEXT(MOD(L370,60),"00")</x:f>
        <x:v>04:00</x:v>
      </x:c>
      <x:c r="I370" t="str">
        <x:f>IF(N370&gt;0,"+"&amp;TEXT(INT(N370/60),"00")&amp;":"&amp;TEXT(MOD(N370,60),"00"),"00:00")</x:f>
        <x:v>00:00</x:v>
      </x:c>
      <x:c r="J370" t="str">
        <x:f>IF(O370&gt;0,"-"&amp;TEXT(INT(O370/60),"00")&amp;":"&amp;TEXT(MOD(O370,60),"00"),"00:00")</x:f>
        <x:v>-00:18</x:v>
      </x:c>
      <x:c r="K370" t="n">
        <x:f>ROUND((F370-C370-IF(OR(D370="",E370=""),0,E370-D370))*1440,0)</x:f>
        <x:v>222</x:v>
      </x:c>
      <x:c r="L370" t="n">
        <x:v>240</x:v>
      </x:c>
      <x:c r="M370" t="n">
        <x:f>K370-L370</x:f>
        <x:v>-18</x:v>
      </x:c>
      <x:c r="N370" t="n">
        <x:f>MAX(0,M370)</x:f>
        <x:v>0</x:v>
      </x:c>
      <x:c r="O370" t="n">
        <x:f>MAX(0,-M370)</x:f>
        <x:v>18</x:v>
      </x:c>
      <x:c r="P370" t="str">
        <x:v>Ponto registrado — complemento ilustrativo</x:v>
      </x:c>
      <x:c r="Q370" t="str">
        <x:v>Saída da CONFERÊNCIA DE CAIXA; entrada/intervalo simulados</x:v>
      </x:c>
      <x:c r="R370" t="str">
        <x:v>2026-05</x:v>
      </x:c>
    </x:row>
    <x:row r="371" ht="21" customHeight="1">
      <x:c r="A371" s="83" t="n">
        <x:v>46146</x:v>
      </x:c>
      <x:c r="B371" t="str">
        <x:v>segunda-feira</x:v>
      </x:c>
      <x:c r="C371" s="85" t="n">
        <x:v>0.5451388888888888</x:v>
      </x:c>
      <x:c r="D371" s="85" t="n">
        <x:v>0.6763888888888889</x:v>
      </x:c>
      <x:c r="E371" s="85" t="n">
        <x:v>0.7159722222222222</x:v>
      </x:c>
      <x:c r="F371" s="85" t="n">
        <x:v>0.8888888888888888</x:v>
      </x:c>
      <x:c r="G371" t="str">
        <x:f>TEXT(INT(K371/60),"00")&amp;":"&amp;TEXT(MOD(K371,60),"00")</x:f>
        <x:v>07:18</x:v>
      </x:c>
      <x:c r="H371" t="str">
        <x:f>TEXT(INT(L371/60),"00")&amp;":"&amp;TEXT(MOD(L371,60),"00")</x:f>
        <x:v>07:20</x:v>
      </x:c>
      <x:c r="I371" t="str">
        <x:f>IF(N371&gt;0,"+"&amp;TEXT(INT(N371/60),"00")&amp;":"&amp;TEXT(MOD(N371,60),"00"),"00:00")</x:f>
        <x:v>00:00</x:v>
      </x:c>
      <x:c r="J371" t="str">
        <x:f>IF(O371&gt;0,"-"&amp;TEXT(INT(O371/60),"00")&amp;":"&amp;TEXT(MOD(O371,60),"00"),"00:00")</x:f>
        <x:v>-00:02</x:v>
      </x:c>
      <x:c r="K371" t="n">
        <x:f>ROUND((F371-C371-IF(OR(D371="",E371=""),0,E371-D371))*1440,0)</x:f>
        <x:v>438</x:v>
      </x:c>
      <x:c r="L371" t="n">
        <x:v>440</x:v>
      </x:c>
      <x:c r="M371" t="n">
        <x:f>K371-L371</x:f>
        <x:v>-2</x:v>
      </x:c>
      <x:c r="N371" t="n">
        <x:f>MAX(0,M371)</x:f>
        <x:v>0</x:v>
      </x:c>
      <x:c r="O371" t="n">
        <x:f>MAX(0,-M371)</x:f>
        <x:v>2</x:v>
      </x:c>
      <x:c r="P371" t="str">
        <x:v>Ponto registrado — complemento ilustrativo</x:v>
      </x:c>
      <x:c r="Q371" t="str">
        <x:v>Saída da CONFERÊNCIA DE CAIXA; entrada/intervalo simulados</x:v>
      </x:c>
      <x:c r="R371" t="str">
        <x:v>2026-05</x:v>
      </x:c>
    </x:row>
    <x:row r="372" ht="21" customHeight="1">
      <x:c r="A372" s="83" t="n">
        <x:v>46147</x:v>
      </x:c>
      <x:c r="B372" t="str">
        <x:v>terça-feira</x:v>
      </x:c>
      <x:c r="C372" s="85" t="n">
        <x:v>0.5409722222222222</x:v>
      </x:c>
      <x:c r="D372" s="85" t="n">
        <x:v>0.6756944444444445</x:v>
      </x:c>
      <x:c r="E372" s="85" t="n">
        <x:v>0.7180555555555556</x:v>
      </x:c>
      <x:c r="F372" s="85" t="n">
        <x:v>0.8902777777777777</x:v>
      </x:c>
      <x:c r="G372" t="str">
        <x:f>TEXT(INT(K372/60),"00")&amp;":"&amp;TEXT(MOD(K372,60),"00")</x:f>
        <x:v>07:22</x:v>
      </x:c>
      <x:c r="H372" t="str">
        <x:f>TEXT(INT(L372/60),"00")&amp;":"&amp;TEXT(MOD(L372,60),"00")</x:f>
        <x:v>07:20</x:v>
      </x:c>
      <x:c r="I372" t="str">
        <x:f>IF(N372&gt;0,"+"&amp;TEXT(INT(N372/60),"00")&amp;":"&amp;TEXT(MOD(N372,60),"00"),"00:00")</x:f>
        <x:v>+00:02</x:v>
      </x:c>
      <x:c r="J372" t="str">
        <x:f>IF(O372&gt;0,"-"&amp;TEXT(INT(O372/60),"00")&amp;":"&amp;TEXT(MOD(O372,60),"00"),"00:00")</x:f>
        <x:v>00:00</x:v>
      </x:c>
      <x:c r="K372" t="n">
        <x:f>ROUND((F372-C372-IF(OR(D372="",E372=""),0,E372-D372))*1440,0)</x:f>
        <x:v>442</x:v>
      </x:c>
      <x:c r="L372" t="n">
        <x:v>440</x:v>
      </x:c>
      <x:c r="M372" t="n">
        <x:f>K372-L372</x:f>
        <x:v>2</x:v>
      </x:c>
      <x:c r="N372" t="n">
        <x:f>MAX(0,M372)</x:f>
        <x:v>2</x:v>
      </x:c>
      <x:c r="O372" t="n">
        <x:f>MAX(0,-M372)</x:f>
        <x:v>0</x:v>
      </x:c>
      <x:c r="P372" t="str">
        <x:v>Ponto registrado — complemento ilustrativo</x:v>
      </x:c>
      <x:c r="Q372" t="str">
        <x:v>Saída da CONFERÊNCIA DE CAIXA; entrada/intervalo simulados</x:v>
      </x:c>
      <x:c r="R372" t="str">
        <x:v>2026-05</x:v>
      </x:c>
    </x:row>
    <x:row r="373" ht="21" customHeight="1">
      <x:c r="A373" s="83" t="n">
        <x:v>46148</x:v>
      </x:c>
      <x:c r="B373" t="str">
        <x:v>quarta-feira</x:v>
      </x:c>
      <x:c r="C373" s="85" t="n">
        <x:v>0.5423611111111111</x:v>
      </x:c>
      <x:c r="D373" s="85" t="n">
        <x:v>0.6729166666666667</x:v>
      </x:c>
      <x:c r="E373" s="85" t="n">
        <x:v>0.7152777777777778</x:v>
      </x:c>
      <x:c r="F373" s="85" t="n">
        <x:v>0.8888888888888888</x:v>
      </x:c>
      <x:c r="G373" t="str">
        <x:f>TEXT(INT(K373/60),"00")&amp;":"&amp;TEXT(MOD(K373,60),"00")</x:f>
        <x:v>07:18</x:v>
      </x:c>
      <x:c r="H373" t="str">
        <x:f>TEXT(INT(L373/60),"00")&amp;":"&amp;TEXT(MOD(L373,60),"00")</x:f>
        <x:v>07:20</x:v>
      </x:c>
      <x:c r="I373" t="str">
        <x:f>IF(N373&gt;0,"+"&amp;TEXT(INT(N373/60),"00")&amp;":"&amp;TEXT(MOD(N373,60),"00"),"00:00")</x:f>
        <x:v>00:00</x:v>
      </x:c>
      <x:c r="J373" t="str">
        <x:f>IF(O373&gt;0,"-"&amp;TEXT(INT(O373/60),"00")&amp;":"&amp;TEXT(MOD(O373,60),"00"),"00:00")</x:f>
        <x:v>-00:02</x:v>
      </x:c>
      <x:c r="K373" t="n">
        <x:f>ROUND((F373-C373-IF(OR(D373="",E373=""),0,E373-D373))*1440,0)</x:f>
        <x:v>438</x:v>
      </x:c>
      <x:c r="L373" t="n">
        <x:v>440</x:v>
      </x:c>
      <x:c r="M373" t="n">
        <x:f>K373-L373</x:f>
        <x:v>-2</x:v>
      </x:c>
      <x:c r="N373" t="n">
        <x:f>MAX(0,M373)</x:f>
        <x:v>0</x:v>
      </x:c>
      <x:c r="O373" t="n">
        <x:f>MAX(0,-M373)</x:f>
        <x:v>2</x:v>
      </x:c>
      <x:c r="P373" t="str">
        <x:v>Ponto registrado — complemento ilustrativo</x:v>
      </x:c>
      <x:c r="Q373" t="str">
        <x:v>Saída da CONFERÊNCIA DE CAIXA; entrada/intervalo simulados</x:v>
      </x:c>
      <x:c r="R373" t="str">
        <x:v>2026-05</x:v>
      </x:c>
    </x:row>
    <x:row r="374" ht="21" customHeight="1">
      <x:c r="A374" s="83" t="n">
        <x:v>46149</x:v>
      </x:c>
      <x:c r="B374" t="str">
        <x:v>quinta-feira</x:v>
      </x:c>
      <x:c r="C374" s="85" t="n">
        <x:v>0.5416666666666666</x:v>
      </x:c>
      <x:c r="D374" s="85" t="n">
        <x:v>0.6722222222222223</x:v>
      </x:c>
      <x:c r="E374" s="85" t="n">
        <x:v>0.7138888888888889</x:v>
      </x:c>
      <x:c r="F374" s="85" t="n">
        <x:v>0.8875</x:v>
      </x:c>
      <x:c r="G374" t="str">
        <x:f>TEXT(INT(K374/60),"00")&amp;":"&amp;TEXT(MOD(K374,60),"00")</x:f>
        <x:v>07:18</x:v>
      </x:c>
      <x:c r="H374" t="str">
        <x:f>TEXT(INT(L374/60),"00")&amp;":"&amp;TEXT(MOD(L374,60),"00")</x:f>
        <x:v>07:20</x:v>
      </x:c>
      <x:c r="I374" t="str">
        <x:f>IF(N374&gt;0,"+"&amp;TEXT(INT(N374/60),"00")&amp;":"&amp;TEXT(MOD(N374,60),"00"),"00:00")</x:f>
        <x:v>00:00</x:v>
      </x:c>
      <x:c r="J374" t="str">
        <x:f>IF(O374&gt;0,"-"&amp;TEXT(INT(O374/60),"00")&amp;":"&amp;TEXT(MOD(O374,60),"00"),"00:00")</x:f>
        <x:v>-00:02</x:v>
      </x:c>
      <x:c r="K374" t="n">
        <x:f>ROUND((F374-C374-IF(OR(D374="",E374=""),0,E374-D374))*1440,0)</x:f>
        <x:v>438</x:v>
      </x:c>
      <x:c r="L374" t="n">
        <x:v>440</x:v>
      </x:c>
      <x:c r="M374" t="n">
        <x:f>K374-L374</x:f>
        <x:v>-2</x:v>
      </x:c>
      <x:c r="N374" t="n">
        <x:f>MAX(0,M374)</x:f>
        <x:v>0</x:v>
      </x:c>
      <x:c r="O374" t="n">
        <x:f>MAX(0,-M374)</x:f>
        <x:v>2</x:v>
      </x:c>
      <x:c r="P374" t="str">
        <x:v>Ponto registrado — complemento ilustrativo</x:v>
      </x:c>
      <x:c r="Q374" t="str">
        <x:v>Saída da CONFERÊNCIA DE CAIXA; entrada/intervalo simulados</x:v>
      </x:c>
      <x:c r="R374" t="str">
        <x:v>2026-05</x:v>
      </x:c>
    </x:row>
    <x:row r="375" ht="21" customHeight="1">
      <x:c r="A375" s="83" t="n">
        <x:v>46150</x:v>
      </x:c>
      <x:c r="B375" t="str">
        <x:v>sexta-feira</x:v>
      </x:c>
      <x:c r="C375" s="85" t="n">
        <x:v>0.5430555555555555</x:v>
      </x:c>
      <x:c r="D375" s="85" t="n">
        <x:v>0.6659722222222222</x:v>
      </x:c>
      <x:c r="E375" s="85" t="n">
        <x:v>0.7090277777777778</x:v>
      </x:c>
      <x:c r="F375" s="85" t="n">
        <x:v>0.8798611111111111</x:v>
      </x:c>
      <x:c r="G375" t="str">
        <x:f>TEXT(INT(K375/60),"00")&amp;":"&amp;TEXT(MOD(K375,60),"00")</x:f>
        <x:v>07:03</x:v>
      </x:c>
      <x:c r="H375" t="str">
        <x:f>TEXT(INT(L375/60),"00")&amp;":"&amp;TEXT(MOD(L375,60),"00")</x:f>
        <x:v>07:20</x:v>
      </x:c>
      <x:c r="I375" t="str">
        <x:f>IF(N375&gt;0,"+"&amp;TEXT(INT(N375/60),"00")&amp;":"&amp;TEXT(MOD(N375,60),"00"),"00:00")</x:f>
        <x:v>00:00</x:v>
      </x:c>
      <x:c r="J375" t="str">
        <x:f>IF(O375&gt;0,"-"&amp;TEXT(INT(O375/60),"00")&amp;":"&amp;TEXT(MOD(O375,60),"00"),"00:00")</x:f>
        <x:v>-00:17</x:v>
      </x:c>
      <x:c r="K375" t="n">
        <x:f>ROUND((F375-C375-IF(OR(D375="",E375=""),0,E375-D375))*1440,0)</x:f>
        <x:v>423</x:v>
      </x:c>
      <x:c r="L375" t="n">
        <x:v>440</x:v>
      </x:c>
      <x:c r="M375" t="n">
        <x:f>K375-L375</x:f>
        <x:v>-17</x:v>
      </x:c>
      <x:c r="N375" t="n">
        <x:f>MAX(0,M375)</x:f>
        <x:v>0</x:v>
      </x:c>
      <x:c r="O375" t="n">
        <x:f>MAX(0,-M375)</x:f>
        <x:v>17</x:v>
      </x:c>
      <x:c r="P375" t="str">
        <x:v>Ponto registrado — complemento ilustrativo</x:v>
      </x:c>
      <x:c r="Q375" t="str">
        <x:v>Saída da CONFERÊNCIA DE CAIXA; entrada/intervalo simulados</x:v>
      </x:c>
      <x:c r="R375" t="str">
        <x:v>2026-05</x:v>
      </x:c>
    </x:row>
    <x:row r="376" ht="21" customHeight="1">
      <x:c r="A376" s="83" t="n">
        <x:v>46151</x:v>
      </x:c>
      <x:c r="B376" t="str">
        <x:v>sábado</x:v>
      </x:c>
      <x:c r="C376" s="85" t="n">
        <x:v>0.5423611111111111</x:v>
      </x:c>
      <x:c r="D376" s="85" t="n">
        <x:v>0.6666666666666666</x:v>
      </x:c>
      <x:c r="E376" s="85" t="n">
        <x:v>0.7083333333333334</x:v>
      </x:c>
      <x:c r="F376" s="85" t="n">
        <x:v>0.9166666666666666</x:v>
      </x:c>
      <x:c r="G376" t="str">
        <x:f>TEXT(INT(K376/60),"00")&amp;":"&amp;TEXT(MOD(K376,60),"00")</x:f>
        <x:v>07:59</x:v>
      </x:c>
      <x:c r="H376" t="str">
        <x:f>TEXT(INT(L376/60),"00")&amp;":"&amp;TEXT(MOD(L376,60),"00")</x:f>
        <x:v>04:00</x:v>
      </x:c>
      <x:c r="I376" t="str">
        <x:f>IF(N376&gt;0,"+"&amp;TEXT(INT(N376/60),"00")&amp;":"&amp;TEXT(MOD(N376,60),"00"),"00:00")</x:f>
        <x:v>+03:59</x:v>
      </x:c>
      <x:c r="J376" t="str">
        <x:f>IF(O376&gt;0,"-"&amp;TEXT(INT(O376/60),"00")&amp;":"&amp;TEXT(MOD(O376,60),"00"),"00:00")</x:f>
        <x:v>00:00</x:v>
      </x:c>
      <x:c r="K376" t="n">
        <x:f>ROUND((F376-C376-IF(OR(D376="",E376=""),0,E376-D376))*1440,0)</x:f>
        <x:v>479</x:v>
      </x:c>
      <x:c r="L376" t="n">
        <x:v>240</x:v>
      </x:c>
      <x:c r="M376" t="n">
        <x:f>K376-L376</x:f>
        <x:v>239</x:v>
      </x:c>
      <x:c r="N376" t="n">
        <x:f>MAX(0,M376)</x:f>
        <x:v>239</x:v>
      </x:c>
      <x:c r="O376" t="n">
        <x:f>MAX(0,-M376)</x:f>
        <x:v>0</x:v>
      </x:c>
      <x:c r="P376" t="str">
        <x:v>Ponto registrado — jornada revisada</x:v>
      </x:c>
      <x:c r="Q376" t="str">
        <x:v>Horários da planilha de jornadas revisada</x:v>
      </x:c>
      <x:c r="R376" t="str">
        <x:v>2026-05</x:v>
      </x:c>
    </x:row>
    <x:row r="377" ht="21" customHeight="1">
      <x:c r="A377" s="83" t="n">
        <x:v>46153</x:v>
      </x:c>
      <x:c r="B377" t="str">
        <x:v>segunda-feira</x:v>
      </x:c>
      <x:c r="C377" s="85" t="n">
        <x:v>0.5451388888888888</x:v>
      </x:c>
      <x:c r="D377" s="85" t="n">
        <x:v>0.6777777777777778</x:v>
      </x:c>
      <x:c r="E377" s="85" t="n">
        <x:v>0.7208333333333333</x:v>
      </x:c>
      <x:c r="F377" s="85" t="n">
        <x:v>0.8888888888888888</x:v>
      </x:c>
      <x:c r="G377" t="str">
        <x:f>TEXT(INT(K377/60),"00")&amp;":"&amp;TEXT(MOD(K377,60),"00")</x:f>
        <x:v>07:13</x:v>
      </x:c>
      <x:c r="H377" t="str">
        <x:f>TEXT(INT(L377/60),"00")&amp;":"&amp;TEXT(MOD(L377,60),"00")</x:f>
        <x:v>07:20</x:v>
      </x:c>
      <x:c r="I377" t="str">
        <x:f>IF(N377&gt;0,"+"&amp;TEXT(INT(N377/60),"00")&amp;":"&amp;TEXT(MOD(N377,60),"00"),"00:00")</x:f>
        <x:v>00:00</x:v>
      </x:c>
      <x:c r="J377" t="str">
        <x:f>IF(O377&gt;0,"-"&amp;TEXT(INT(O377/60),"00")&amp;":"&amp;TEXT(MOD(O377,60),"00"),"00:00")</x:f>
        <x:v>-00:07</x:v>
      </x:c>
      <x:c r="K377" t="n">
        <x:f>ROUND((F377-C377-IF(OR(D377="",E377=""),0,E377-D377))*1440,0)</x:f>
        <x:v>433</x:v>
      </x:c>
      <x:c r="L377" t="n">
        <x:v>440</x:v>
      </x:c>
      <x:c r="M377" t="n">
        <x:f>K377-L377</x:f>
        <x:v>-7</x:v>
      </x:c>
      <x:c r="N377" t="n">
        <x:f>MAX(0,M377)</x:f>
        <x:v>0</x:v>
      </x:c>
      <x:c r="O377" t="n">
        <x:f>MAX(0,-M377)</x:f>
        <x:v>7</x:v>
      </x:c>
      <x:c r="P377" t="str">
        <x:v>Ponto registrado — complemento ilustrativo</x:v>
      </x:c>
      <x:c r="Q377" t="str">
        <x:v>Saída da CONFERÊNCIA DE CAIXA; entrada/intervalo simulados</x:v>
      </x:c>
      <x:c r="R377" t="str">
        <x:v>2026-05</x:v>
      </x:c>
    </x:row>
    <x:row r="378" ht="21" customHeight="1">
      <x:c r="A378" s="83" t="n">
        <x:v>46154</x:v>
      </x:c>
      <x:c r="B378" t="str">
        <x:v>terça-feira</x:v>
      </x:c>
      <x:c r="C378" s="85" t="n">
        <x:v>0.5458333333333333</x:v>
      </x:c>
      <x:c r="D378" s="85" t="n">
        <x:v>0.6736111111111112</x:v>
      </x:c>
      <x:c r="E378" s="85" t="n">
        <x:v>0.7152777777777778</x:v>
      </x:c>
      <x:c r="F378" s="85" t="n">
        <x:v>0.8888888888888888</x:v>
      </x:c>
      <x:c r="G378" t="str">
        <x:f>TEXT(INT(K378/60),"00")&amp;":"&amp;TEXT(MOD(K378,60),"00")</x:f>
        <x:v>07:14</x:v>
      </x:c>
      <x:c r="H378" t="str">
        <x:f>TEXT(INT(L378/60),"00")&amp;":"&amp;TEXT(MOD(L378,60),"00")</x:f>
        <x:v>07:20</x:v>
      </x:c>
      <x:c r="I378" t="str">
        <x:f>IF(N378&gt;0,"+"&amp;TEXT(INT(N378/60),"00")&amp;":"&amp;TEXT(MOD(N378,60),"00"),"00:00")</x:f>
        <x:v>00:00</x:v>
      </x:c>
      <x:c r="J378" t="str">
        <x:f>IF(O378&gt;0,"-"&amp;TEXT(INT(O378/60),"00")&amp;":"&amp;TEXT(MOD(O378,60),"00"),"00:00")</x:f>
        <x:v>-00:06</x:v>
      </x:c>
      <x:c r="K378" t="n">
        <x:f>ROUND((F378-C378-IF(OR(D378="",E378=""),0,E378-D378))*1440,0)</x:f>
        <x:v>434</x:v>
      </x:c>
      <x:c r="L378" t="n">
        <x:v>440</x:v>
      </x:c>
      <x:c r="M378" t="n">
        <x:f>K378-L378</x:f>
        <x:v>-6</x:v>
      </x:c>
      <x:c r="N378" t="n">
        <x:f>MAX(0,M378)</x:f>
        <x:v>0</x:v>
      </x:c>
      <x:c r="O378" t="n">
        <x:f>MAX(0,-M378)</x:f>
        <x:v>6</x:v>
      </x:c>
      <x:c r="P378" t="str">
        <x:v>Ponto registrado — complemento ilustrativo</x:v>
      </x:c>
      <x:c r="Q378" t="str">
        <x:v>Saída da CONFERÊNCIA DE CAIXA; entrada/intervalo simulados</x:v>
      </x:c>
      <x:c r="R378" t="str">
        <x:v>2026-05</x:v>
      </x:c>
    </x:row>
    <x:row r="379" ht="21" customHeight="1">
      <x:c r="A379" s="83" t="n">
        <x:v>46155</x:v>
      </x:c>
      <x:c r="B379" t="str">
        <x:v>quarta-feira</x:v>
      </x:c>
      <x:c r="C379" s="85" t="n">
        <x:v>0.5402777777777777</x:v>
      </x:c>
      <x:c r="D379" s="85" t="n">
        <x:v>0.6784722222222223</x:v>
      </x:c>
      <x:c r="E379" s="85" t="n">
        <x:v>0.7180555555555556</x:v>
      </x:c>
      <x:c r="F379" s="85" t="n">
        <x:v>0.8895833333333333</x:v>
      </x:c>
      <x:c r="G379" t="str">
        <x:f>TEXT(INT(K379/60),"00")&amp;":"&amp;TEXT(MOD(K379,60),"00")</x:f>
        <x:v>07:26</x:v>
      </x:c>
      <x:c r="H379" t="str">
        <x:f>TEXT(INT(L379/60),"00")&amp;":"&amp;TEXT(MOD(L379,60),"00")</x:f>
        <x:v>07:20</x:v>
      </x:c>
      <x:c r="I379" t="str">
        <x:f>IF(N379&gt;0,"+"&amp;TEXT(INT(N379/60),"00")&amp;":"&amp;TEXT(MOD(N379,60),"00"),"00:00")</x:f>
        <x:v>+00:06</x:v>
      </x:c>
      <x:c r="J379" t="str">
        <x:f>IF(O379&gt;0,"-"&amp;TEXT(INT(O379/60),"00")&amp;":"&amp;TEXT(MOD(O379,60),"00"),"00:00")</x:f>
        <x:v>00:00</x:v>
      </x:c>
      <x:c r="K379" t="n">
        <x:f>ROUND((F379-C379-IF(OR(D379="",E379=""),0,E379-D379))*1440,0)</x:f>
        <x:v>446</x:v>
      </x:c>
      <x:c r="L379" t="n">
        <x:v>440</x:v>
      </x:c>
      <x:c r="M379" t="n">
        <x:f>K379-L379</x:f>
        <x:v>6</x:v>
      </x:c>
      <x:c r="N379" t="n">
        <x:f>MAX(0,M379)</x:f>
        <x:v>6</x:v>
      </x:c>
      <x:c r="O379" t="n">
        <x:f>MAX(0,-M379)</x:f>
        <x:v>0</x:v>
      </x:c>
      <x:c r="P379" t="str">
        <x:v>Ponto registrado — complemento ilustrativo</x:v>
      </x:c>
      <x:c r="Q379" t="str">
        <x:v>Saída da CONFERÊNCIA DE CAIXA; entrada/intervalo simulados</x:v>
      </x:c>
      <x:c r="R379" t="str">
        <x:v>2026-05</x:v>
      </x:c>
    </x:row>
    <x:row r="380" ht="21" customHeight="1">
      <x:c r="A380" s="83" t="n">
        <x:v>46156</x:v>
      </x:c>
      <x:c r="B380" t="str">
        <x:v>quinta-feira</x:v>
      </x:c>
      <x:c r="C380" s="85" t="n">
        <x:v>0.5465277777777777</x:v>
      </x:c>
      <x:c r="D380" s="85" t="n">
        <x:v>0.6777777777777778</x:v>
      </x:c>
      <x:c r="E380" s="85" t="n">
        <x:v>0.7201388888888889</x:v>
      </x:c>
      <x:c r="F380" s="85" t="n">
        <x:v>0.8861111111111111</x:v>
      </x:c>
      <x:c r="G380" t="str">
        <x:f>TEXT(INT(K380/60),"00")&amp;":"&amp;TEXT(MOD(K380,60),"00")</x:f>
        <x:v>07:08</x:v>
      </x:c>
      <x:c r="H380" t="str">
        <x:f>TEXT(INT(L380/60),"00")&amp;":"&amp;TEXT(MOD(L380,60),"00")</x:f>
        <x:v>07:20</x:v>
      </x:c>
      <x:c r="I380" t="str">
        <x:f>IF(N380&gt;0,"+"&amp;TEXT(INT(N380/60),"00")&amp;":"&amp;TEXT(MOD(N380,60),"00"),"00:00")</x:f>
        <x:v>00:00</x:v>
      </x:c>
      <x:c r="J380" t="str">
        <x:f>IF(O380&gt;0,"-"&amp;TEXT(INT(O380/60),"00")&amp;":"&amp;TEXT(MOD(O380,60),"00"),"00:00")</x:f>
        <x:v>-00:12</x:v>
      </x:c>
      <x:c r="K380" t="n">
        <x:f>ROUND((F380-C380-IF(OR(D380="",E380=""),0,E380-D380))*1440,0)</x:f>
        <x:v>428</x:v>
      </x:c>
      <x:c r="L380" t="n">
        <x:v>440</x:v>
      </x:c>
      <x:c r="M380" t="n">
        <x:f>K380-L380</x:f>
        <x:v>-12</x:v>
      </x:c>
      <x:c r="N380" t="n">
        <x:f>MAX(0,M380)</x:f>
        <x:v>0</x:v>
      </x:c>
      <x:c r="O380" t="n">
        <x:f>MAX(0,-M380)</x:f>
        <x:v>12</x:v>
      </x:c>
      <x:c r="P380" t="str">
        <x:v>Ponto registrado — complemento ilustrativo</x:v>
      </x:c>
      <x:c r="Q380" t="str">
        <x:v>Saída da CONFERÊNCIA DE CAIXA; entrada/intervalo simulados</x:v>
      </x:c>
      <x:c r="R380" t="str">
        <x:v>2026-05</x:v>
      </x:c>
    </x:row>
    <x:row r="381" ht="21" customHeight="1">
      <x:c r="A381" s="83" t="n">
        <x:v>46157</x:v>
      </x:c>
      <x:c r="B381" t="str">
        <x:v>sexta-feira</x:v>
      </x:c>
      <x:c r="C381" s="85" t="n">
        <x:v>0.5423611111111111</x:v>
      </x:c>
      <x:c r="D381" s="85" t="n">
        <x:v>0.6722222222222223</x:v>
      </x:c>
      <x:c r="E381" s="85" t="n">
        <x:v>0.7131944444444445</x:v>
      </x:c>
      <x:c r="F381" s="85" t="n">
        <x:v>0.8895833333333333</x:v>
      </x:c>
      <x:c r="G381" t="str">
        <x:f>TEXT(INT(K381/60),"00")&amp;":"&amp;TEXT(MOD(K381,60),"00")</x:f>
        <x:v>07:21</x:v>
      </x:c>
      <x:c r="H381" t="str">
        <x:f>TEXT(INT(L381/60),"00")&amp;":"&amp;TEXT(MOD(L381,60),"00")</x:f>
        <x:v>07:20</x:v>
      </x:c>
      <x:c r="I381" t="str">
        <x:f>IF(N381&gt;0,"+"&amp;TEXT(INT(N381/60),"00")&amp;":"&amp;TEXT(MOD(N381,60),"00"),"00:00")</x:f>
        <x:v>+00:01</x:v>
      </x:c>
      <x:c r="J381" t="str">
        <x:f>IF(O381&gt;0,"-"&amp;TEXT(INT(O381/60),"00")&amp;":"&amp;TEXT(MOD(O381,60),"00"),"00:00")</x:f>
        <x:v>00:00</x:v>
      </x:c>
      <x:c r="K381" t="n">
        <x:f>ROUND((F381-C381-IF(OR(D381="",E381=""),0,E381-D381))*1440,0)</x:f>
        <x:v>441</x:v>
      </x:c>
      <x:c r="L381" t="n">
        <x:v>440</x:v>
      </x:c>
      <x:c r="M381" t="n">
        <x:f>K381-L381</x:f>
        <x:v>1</x:v>
      </x:c>
      <x:c r="N381" t="n">
        <x:f>MAX(0,M381)</x:f>
        <x:v>1</x:v>
      </x:c>
      <x:c r="O381" t="n">
        <x:f>MAX(0,-M381)</x:f>
        <x:v>0</x:v>
      </x:c>
      <x:c r="P381" t="str">
        <x:v>Ponto registrado — complemento ilustrativo</x:v>
      </x:c>
      <x:c r="Q381" t="str">
        <x:v>Saída da CONFERÊNCIA DE CAIXA; entrada/intervalo simulados</x:v>
      </x:c>
      <x:c r="R381" t="str">
        <x:v>2026-05</x:v>
      </x:c>
    </x:row>
    <x:row r="382" ht="21" customHeight="1">
      <x:c r="A382" s="83" t="n">
        <x:v>46158</x:v>
      </x:c>
      <x:c r="B382" t="str">
        <x:v>sábado</x:v>
      </x:c>
      <x:c r="C382" s="85" t="n">
        <x:v>0.5402777777777777</x:v>
      </x:c>
      <x:c r="D382" s="85" t="n">
        <x:v>0.65625</x:v>
      </x:c>
      <x:c r="E382" s="85" t="n">
        <x:v>0.6666666666666666</x:v>
      </x:c>
      <x:c r="F382" s="85" t="n">
        <x:v>0.7104166666666667</x:v>
      </x:c>
      <x:c r="G382" t="str">
        <x:f>TEXT(INT(K382/60),"00")&amp;":"&amp;TEXT(MOD(K382,60),"00")</x:f>
        <x:v>03:50</x:v>
      </x:c>
      <x:c r="H382" t="str">
        <x:f>TEXT(INT(L382/60),"00")&amp;":"&amp;TEXT(MOD(L382,60),"00")</x:f>
        <x:v>04:00</x:v>
      </x:c>
      <x:c r="I382" t="str">
        <x:f>IF(N382&gt;0,"+"&amp;TEXT(INT(N382/60),"00")&amp;":"&amp;TEXT(MOD(N382,60),"00"),"00:00")</x:f>
        <x:v>00:00</x:v>
      </x:c>
      <x:c r="J382" t="str">
        <x:f>IF(O382&gt;0,"-"&amp;TEXT(INT(O382/60),"00")&amp;":"&amp;TEXT(MOD(O382,60),"00"),"00:00")</x:f>
        <x:v>-00:10</x:v>
      </x:c>
      <x:c r="K382" t="n">
        <x:f>ROUND((F382-C382-IF(OR(D382="",E382=""),0,E382-D382))*1440,0)</x:f>
        <x:v>230</x:v>
      </x:c>
      <x:c r="L382" t="n">
        <x:v>240</x:v>
      </x:c>
      <x:c r="M382" t="n">
        <x:f>K382-L382</x:f>
        <x:v>-10</x:v>
      </x:c>
      <x:c r="N382" t="n">
        <x:f>MAX(0,M382)</x:f>
        <x:v>0</x:v>
      </x:c>
      <x:c r="O382" t="n">
        <x:f>MAX(0,-M382)</x:f>
        <x:v>10</x:v>
      </x:c>
      <x:c r="P382" t="str">
        <x:v>Ponto registrado — complemento ilustrativo</x:v>
      </x:c>
      <x:c r="Q382" t="str">
        <x:v>Saída da CONFERÊNCIA DE CAIXA; entrada/intervalo simulados</x:v>
      </x:c>
      <x:c r="R382" t="str">
        <x:v>2026-05</x:v>
      </x:c>
    </x:row>
    <x:row r="383" ht="21" customHeight="1">
      <x:c r="A383" s="83" t="n">
        <x:v>46160</x:v>
      </x:c>
      <x:c r="B383" t="str">
        <x:v>segunda-feira</x:v>
      </x:c>
      <x:c r="C383" s="85" t="n">
        <x:v>0.5381944444444444</x:v>
      </x:c>
      <x:c r="D383" s="85" t="n">
        <x:v>0.6777777777777778</x:v>
      </x:c>
      <x:c r="E383" s="85" t="n">
        <x:v>0.7215277777777778</x:v>
      </x:c>
      <x:c r="F383" s="85" t="n">
        <x:v>0.8888888888888888</x:v>
      </x:c>
      <x:c r="G383" t="str">
        <x:f>TEXT(INT(K383/60),"00")&amp;":"&amp;TEXT(MOD(K383,60),"00")</x:f>
        <x:v>07:22</x:v>
      </x:c>
      <x:c r="H383" t="str">
        <x:f>TEXT(INT(L383/60),"00")&amp;":"&amp;TEXT(MOD(L383,60),"00")</x:f>
        <x:v>07:20</x:v>
      </x:c>
      <x:c r="I383" t="str">
        <x:f>IF(N383&gt;0,"+"&amp;TEXT(INT(N383/60),"00")&amp;":"&amp;TEXT(MOD(N383,60),"00"),"00:00")</x:f>
        <x:v>+00:02</x:v>
      </x:c>
      <x:c r="J383" t="str">
        <x:f>IF(O383&gt;0,"-"&amp;TEXT(INT(O383/60),"00")&amp;":"&amp;TEXT(MOD(O383,60),"00"),"00:00")</x:f>
        <x:v>00:00</x:v>
      </x:c>
      <x:c r="K383" t="n">
        <x:f>ROUND((F383-C383-IF(OR(D383="",E383=""),0,E383-D383))*1440,0)</x:f>
        <x:v>442</x:v>
      </x:c>
      <x:c r="L383" t="n">
        <x:v>440</x:v>
      </x:c>
      <x:c r="M383" t="n">
        <x:f>K383-L383</x:f>
        <x:v>2</x:v>
      </x:c>
      <x:c r="N383" t="n">
        <x:f>MAX(0,M383)</x:f>
        <x:v>2</x:v>
      </x:c>
      <x:c r="O383" t="n">
        <x:f>MAX(0,-M383)</x:f>
        <x:v>0</x:v>
      </x:c>
      <x:c r="P383" t="str">
        <x:v>Ponto registrado — complemento ilustrativo</x:v>
      </x:c>
      <x:c r="Q383" t="str">
        <x:v>Saída da CONFERÊNCIA DE CAIXA; entrada/intervalo simulados</x:v>
      </x:c>
      <x:c r="R383" t="str">
        <x:v>2026-05</x:v>
      </x:c>
    </x:row>
    <x:row r="384" ht="21" customHeight="1">
      <x:c r="A384" s="83" t="n">
        <x:v>46161</x:v>
      </x:c>
      <x:c r="B384" t="str">
        <x:v>terça-feira</x:v>
      </x:c>
      <x:c r="C384" s="85" t="n">
        <x:v>0.5375</x:v>
      </x:c>
      <x:c r="D384" s="85" t="n">
        <x:v>0.6701388888888888</x:v>
      </x:c>
      <x:c r="E384" s="85" t="n">
        <x:v>0.7090277777777778</x:v>
      </x:c>
      <x:c r="F384" s="85" t="n">
        <x:v>0.8888888888888888</x:v>
      </x:c>
      <x:c r="G384" t="str">
        <x:f>TEXT(INT(K384/60),"00")&amp;":"&amp;TEXT(MOD(K384,60),"00")</x:f>
        <x:v>07:30</x:v>
      </x:c>
      <x:c r="H384" t="str">
        <x:f>TEXT(INT(L384/60),"00")&amp;":"&amp;TEXT(MOD(L384,60),"00")</x:f>
        <x:v>07:20</x:v>
      </x:c>
      <x:c r="I384" t="str">
        <x:f>IF(N384&gt;0,"+"&amp;TEXT(INT(N384/60),"00")&amp;":"&amp;TEXT(MOD(N384,60),"00"),"00:00")</x:f>
        <x:v>+00:10</x:v>
      </x:c>
      <x:c r="J384" t="str">
        <x:f>IF(O384&gt;0,"-"&amp;TEXT(INT(O384/60),"00")&amp;":"&amp;TEXT(MOD(O384,60),"00"),"00:00")</x:f>
        <x:v>00:00</x:v>
      </x:c>
      <x:c r="K384" t="n">
        <x:f>ROUND((F384-C384-IF(OR(D384="",E384=""),0,E384-D384))*1440,0)</x:f>
        <x:v>450</x:v>
      </x:c>
      <x:c r="L384" t="n">
        <x:v>440</x:v>
      </x:c>
      <x:c r="M384" t="n">
        <x:f>K384-L384</x:f>
        <x:v>10</x:v>
      </x:c>
      <x:c r="N384" t="n">
        <x:f>MAX(0,M384)</x:f>
        <x:v>10</x:v>
      </x:c>
      <x:c r="O384" t="n">
        <x:f>MAX(0,-M384)</x:f>
        <x:v>0</x:v>
      </x:c>
      <x:c r="P384" t="str">
        <x:v>Ponto registrado — complemento ilustrativo</x:v>
      </x:c>
      <x:c r="Q384" t="str">
        <x:v>Saída da CONFERÊNCIA DE CAIXA; entrada/intervalo simulados</x:v>
      </x:c>
      <x:c r="R384" t="str">
        <x:v>2026-05</x:v>
      </x:c>
    </x:row>
    <x:row r="385" ht="21" customHeight="1">
      <x:c r="A385" s="83" t="n">
        <x:v>46162</x:v>
      </x:c>
      <x:c r="B385" t="str">
        <x:v>quarta-feira</x:v>
      </x:c>
      <x:c r="C385" s="85" t="n">
        <x:v>0.5458333333333333</x:v>
      </x:c>
      <x:c r="D385" s="85" t="n">
        <x:v>0.6701388888888888</x:v>
      </x:c>
      <x:c r="E385" s="85" t="n">
        <x:v>0.7097222222222223</x:v>
      </x:c>
      <x:c r="F385" s="85" t="n">
        <x:v>0.8888888888888888</x:v>
      </x:c>
      <x:c r="G385" t="str">
        <x:f>TEXT(INT(K385/60),"00")&amp;":"&amp;TEXT(MOD(K385,60),"00")</x:f>
        <x:v>07:17</x:v>
      </x:c>
      <x:c r="H385" t="str">
        <x:f>TEXT(INT(L385/60),"00")&amp;":"&amp;TEXT(MOD(L385,60),"00")</x:f>
        <x:v>07:20</x:v>
      </x:c>
      <x:c r="I385" t="str">
        <x:f>IF(N385&gt;0,"+"&amp;TEXT(INT(N385/60),"00")&amp;":"&amp;TEXT(MOD(N385,60),"00"),"00:00")</x:f>
        <x:v>00:00</x:v>
      </x:c>
      <x:c r="J385" t="str">
        <x:f>IF(O385&gt;0,"-"&amp;TEXT(INT(O385/60),"00")&amp;":"&amp;TEXT(MOD(O385,60),"00"),"00:00")</x:f>
        <x:v>-00:03</x:v>
      </x:c>
      <x:c r="K385" t="n">
        <x:f>ROUND((F385-C385-IF(OR(D385="",E385=""),0,E385-D385))*1440,0)</x:f>
        <x:v>437</x:v>
      </x:c>
      <x:c r="L385" t="n">
        <x:v>440</x:v>
      </x:c>
      <x:c r="M385" t="n">
        <x:f>K385-L385</x:f>
        <x:v>-3</x:v>
      </x:c>
      <x:c r="N385" t="n">
        <x:f>MAX(0,M385)</x:f>
        <x:v>0</x:v>
      </x:c>
      <x:c r="O385" t="n">
        <x:f>MAX(0,-M385)</x:f>
        <x:v>3</x:v>
      </x:c>
      <x:c r="P385" t="str">
        <x:v>Ponto registrado — complemento ilustrativo</x:v>
      </x:c>
      <x:c r="Q385" t="str">
        <x:v>Saída da CONFERÊNCIA DE CAIXA; entrada/intervalo simulados</x:v>
      </x:c>
      <x:c r="R385" t="str">
        <x:v>2026-05</x:v>
      </x:c>
    </x:row>
    <x:row r="386" ht="21" customHeight="1">
      <x:c r="A386" s="83" t="n">
        <x:v>46163</x:v>
      </x:c>
      <x:c r="B386" t="str">
        <x:v>quinta-feira</x:v>
      </x:c>
      <x:c r="C386" s="85" t="n">
        <x:v>0.54375</x:v>
      </x:c>
      <x:c r="D386" s="85" t="n">
        <x:v>0.6736111111111112</x:v>
      </x:c>
      <x:c r="E386" s="85" t="n">
        <x:v>0.7173611111111111</x:v>
      </x:c>
      <x:c r="F386" s="85" t="n">
        <x:v>0.8875</x:v>
      </x:c>
      <x:c r="G386" t="str">
        <x:f>TEXT(INT(K386/60),"00")&amp;":"&amp;TEXT(MOD(K386,60),"00")</x:f>
        <x:v>07:12</x:v>
      </x:c>
      <x:c r="H386" t="str">
        <x:f>TEXT(INT(L386/60),"00")&amp;":"&amp;TEXT(MOD(L386,60),"00")</x:f>
        <x:v>07:20</x:v>
      </x:c>
      <x:c r="I386" t="str">
        <x:f>IF(N386&gt;0,"+"&amp;TEXT(INT(N386/60),"00")&amp;":"&amp;TEXT(MOD(N386,60),"00"),"00:00")</x:f>
        <x:v>00:00</x:v>
      </x:c>
      <x:c r="J386" t="str">
        <x:f>IF(O386&gt;0,"-"&amp;TEXT(INT(O386/60),"00")&amp;":"&amp;TEXT(MOD(O386,60),"00"),"00:00")</x:f>
        <x:v>-00:08</x:v>
      </x:c>
      <x:c r="K386" t="n">
        <x:f>ROUND((F386-C386-IF(OR(D386="",E386=""),0,E386-D386))*1440,0)</x:f>
        <x:v>432</x:v>
      </x:c>
      <x:c r="L386" t="n">
        <x:v>440</x:v>
      </x:c>
      <x:c r="M386" t="n">
        <x:f>K386-L386</x:f>
        <x:v>-8</x:v>
      </x:c>
      <x:c r="N386" t="n">
        <x:f>MAX(0,M386)</x:f>
        <x:v>0</x:v>
      </x:c>
      <x:c r="O386" t="n">
        <x:f>MAX(0,-M386)</x:f>
        <x:v>8</x:v>
      </x:c>
      <x:c r="P386" t="str">
        <x:v>Ponto registrado — jornada revisada</x:v>
      </x:c>
      <x:c r="Q386" t="str">
        <x:v>Horários da planilha de jornadas revisada</x:v>
      </x:c>
      <x:c r="R386" t="str">
        <x:v>2026-05</x:v>
      </x:c>
    </x:row>
    <x:row r="387" ht="21" customHeight="1">
      <x:c r="A387" s="83" t="n">
        <x:v>46164</x:v>
      </x:c>
      <x:c r="B387" t="str">
        <x:v>sexta-feira</x:v>
      </x:c>
      <x:c r="C387" s="85" t="n">
        <x:v>0.5395833333333333</x:v>
      </x:c>
      <x:c r="D387" s="85" t="n">
        <x:v>0.6791666666666667</x:v>
      </x:c>
      <x:c r="E387" s="85" t="n">
        <x:v>0.7215277777777778</x:v>
      </x:c>
      <x:c r="F387" s="85" t="n">
        <x:v>0.8875</x:v>
      </x:c>
      <x:c r="G387" t="str">
        <x:f>TEXT(INT(K387/60),"00")&amp;":"&amp;TEXT(MOD(K387,60),"00")</x:f>
        <x:v>07:20</x:v>
      </x:c>
      <x:c r="H387" t="str">
        <x:f>TEXT(INT(L387/60),"00")&amp;":"&amp;TEXT(MOD(L387,60),"00")</x:f>
        <x:v>07:20</x:v>
      </x:c>
      <x:c r="I387" t="str">
        <x:f>IF(N387&gt;0,"+"&amp;TEXT(INT(N387/60),"00")&amp;":"&amp;TEXT(MOD(N387,60),"00"),"00:00")</x:f>
        <x:v>00:00</x:v>
      </x:c>
      <x:c r="J387" t="str">
        <x:f>IF(O387&gt;0,"-"&amp;TEXT(INT(O387/60),"00")&amp;":"&amp;TEXT(MOD(O387,60),"00"),"00:00")</x:f>
        <x:v>00:00</x:v>
      </x:c>
      <x:c r="K387" t="n">
        <x:f>ROUND((F387-C387-IF(OR(D387="",E387=""),0,E387-D387))*1440,0)</x:f>
        <x:v>440</x:v>
      </x:c>
      <x:c r="L387" t="n">
        <x:v>440</x:v>
      </x:c>
      <x:c r="M387" t="n">
        <x:f>K387-L387</x:f>
        <x:v>0</x:v>
      </x:c>
      <x:c r="N387" t="n">
        <x:f>MAX(0,M387)</x:f>
        <x:v>0</x:v>
      </x:c>
      <x:c r="O387" t="n">
        <x:f>MAX(0,-M387)</x:f>
        <x:v>0</x:v>
      </x:c>
      <x:c r="P387" t="str">
        <x:v>Ponto registrado — complemento ilustrativo</x:v>
      </x:c>
      <x:c r="Q387" t="str">
        <x:v>Saída da CONFERÊNCIA DE CAIXA; entrada/intervalo simulados</x:v>
      </x:c>
      <x:c r="R387" t="str">
        <x:v>2026-05</x:v>
      </x:c>
    </x:row>
    <x:row r="388" ht="21" customHeight="1">
      <x:c r="A388" s="83" t="n">
        <x:v>46165</x:v>
      </x:c>
      <x:c r="B388" t="str">
        <x:v>sábado</x:v>
      </x:c>
      <x:c r="C388" s="85" t="n">
        <x:v>0.5472222222222223</x:v>
      </x:c>
      <x:c r="D388" s="85"/>
      <x:c r="E388" s="85"/>
      <x:c r="F388" s="85" t="n">
        <x:v>0.7076388888888889</x:v>
      </x:c>
      <x:c r="G388" t="str">
        <x:f>TEXT(INT(K388/60),"00")&amp;":"&amp;TEXT(MOD(K388,60),"00")</x:f>
        <x:v>03:51</x:v>
      </x:c>
      <x:c r="H388" t="str">
        <x:f>TEXT(INT(L388/60),"00")&amp;":"&amp;TEXT(MOD(L388,60),"00")</x:f>
        <x:v>04:00</x:v>
      </x:c>
      <x:c r="I388" t="str">
        <x:f>IF(N388&gt;0,"+"&amp;TEXT(INT(N388/60),"00")&amp;":"&amp;TEXT(MOD(N388,60),"00"),"00:00")</x:f>
        <x:v>00:00</x:v>
      </x:c>
      <x:c r="J388" t="str">
        <x:f>IF(O388&gt;0,"-"&amp;TEXT(INT(O388/60),"00")&amp;":"&amp;TEXT(MOD(O388,60),"00"),"00:00")</x:f>
        <x:v>-00:09</x:v>
      </x:c>
      <x:c r="K388" t="n">
        <x:f>ROUND((F388-C388-IF(OR(D388="",E388=""),0,E388-D388))*1440,0)</x:f>
        <x:v>231</x:v>
      </x:c>
      <x:c r="L388" t="n">
        <x:v>240</x:v>
      </x:c>
      <x:c r="M388" t="n">
        <x:f>K388-L388</x:f>
        <x:v>-9</x:v>
      </x:c>
      <x:c r="N388" t="n">
        <x:f>MAX(0,M388)</x:f>
        <x:v>0</x:v>
      </x:c>
      <x:c r="O388" t="n">
        <x:f>MAX(0,-M388)</x:f>
        <x:v>9</x:v>
      </x:c>
      <x:c r="P388" t="str">
        <x:v>Ponto registrado — complemento ilustrativo</x:v>
      </x:c>
      <x:c r="Q388" t="str">
        <x:v>Saída da CONFERÊNCIA DE CAIXA; entrada/intervalo simulados</x:v>
      </x:c>
      <x:c r="R388" t="str">
        <x:v>2026-05</x:v>
      </x:c>
    </x:row>
    <x:row r="389" ht="21" customHeight="1">
      <x:c r="A389" s="83" t="n">
        <x:v>46167</x:v>
      </x:c>
      <x:c r="B389" t="str">
        <x:v>segunda-feira</x:v>
      </x:c>
      <x:c r="C389" s="85" t="n">
        <x:v>0.5472222222222223</x:v>
      </x:c>
      <x:c r="D389" s="85" t="n">
        <x:v>0.6708333333333333</x:v>
      </x:c>
      <x:c r="E389" s="85" t="n">
        <x:v>0.7104166666666667</x:v>
      </x:c>
      <x:c r="F389" s="85" t="n">
        <x:v>0.8902777777777777</x:v>
      </x:c>
      <x:c r="G389" t="str">
        <x:f>TEXT(INT(K389/60),"00")&amp;":"&amp;TEXT(MOD(K389,60),"00")</x:f>
        <x:v>07:17</x:v>
      </x:c>
      <x:c r="H389" t="str">
        <x:f>TEXT(INT(L389/60),"00")&amp;":"&amp;TEXT(MOD(L389,60),"00")</x:f>
        <x:v>07:20</x:v>
      </x:c>
      <x:c r="I389" t="str">
        <x:f>IF(N389&gt;0,"+"&amp;TEXT(INT(N389/60),"00")&amp;":"&amp;TEXT(MOD(N389,60),"00"),"00:00")</x:f>
        <x:v>00:00</x:v>
      </x:c>
      <x:c r="J389" t="str">
        <x:f>IF(O389&gt;0,"-"&amp;TEXT(INT(O389/60),"00")&amp;":"&amp;TEXT(MOD(O389,60),"00"),"00:00")</x:f>
        <x:v>-00:03</x:v>
      </x:c>
      <x:c r="K389" t="n">
        <x:f>ROUND((F389-C389-IF(OR(D389="",E389=""),0,E389-D389))*1440,0)</x:f>
        <x:v>437</x:v>
      </x:c>
      <x:c r="L389" t="n">
        <x:v>440</x:v>
      </x:c>
      <x:c r="M389" t="n">
        <x:f>K389-L389</x:f>
        <x:v>-3</x:v>
      </x:c>
      <x:c r="N389" t="n">
        <x:f>MAX(0,M389)</x:f>
        <x:v>0</x:v>
      </x:c>
      <x:c r="O389" t="n">
        <x:f>MAX(0,-M389)</x:f>
        <x:v>3</x:v>
      </x:c>
      <x:c r="P389" t="str">
        <x:v>Ponto registrado — complemento ilustrativo</x:v>
      </x:c>
      <x:c r="Q389" t="str">
        <x:v>Saída da CONFERÊNCIA DE CAIXA; entrada/intervalo simulados</x:v>
      </x:c>
      <x:c r="R389" t="str">
        <x:v>2026-05</x:v>
      </x:c>
    </x:row>
    <x:row r="390" ht="21" customHeight="1">
      <x:c r="A390" s="83" t="n">
        <x:v>46168</x:v>
      </x:c>
      <x:c r="B390" t="str">
        <x:v>terça-feira</x:v>
      </x:c>
      <x:c r="C390" s="85" t="n">
        <x:v>0.54375</x:v>
      </x:c>
      <x:c r="D390" s="85" t="n">
        <x:v>0.6756944444444445</x:v>
      </x:c>
      <x:c r="E390" s="85" t="n">
        <x:v>0.7194444444444444</x:v>
      </x:c>
      <x:c r="F390" s="85" t="n">
        <x:v>0.8909722222222223</x:v>
      </x:c>
      <x:c r="G390" t="str">
        <x:f>TEXT(INT(K390/60),"00")&amp;":"&amp;TEXT(MOD(K390,60),"00")</x:f>
        <x:v>07:17</x:v>
      </x:c>
      <x:c r="H390" t="str">
        <x:f>TEXT(INT(L390/60),"00")&amp;":"&amp;TEXT(MOD(L390,60),"00")</x:f>
        <x:v>07:20</x:v>
      </x:c>
      <x:c r="I390" t="str">
        <x:f>IF(N390&gt;0,"+"&amp;TEXT(INT(N390/60),"00")&amp;":"&amp;TEXT(MOD(N390,60),"00"),"00:00")</x:f>
        <x:v>00:00</x:v>
      </x:c>
      <x:c r="J390" t="str">
        <x:f>IF(O390&gt;0,"-"&amp;TEXT(INT(O390/60),"00")&amp;":"&amp;TEXT(MOD(O390,60),"00"),"00:00")</x:f>
        <x:v>-00:03</x:v>
      </x:c>
      <x:c r="K390" t="n">
        <x:f>ROUND((F390-C390-IF(OR(D390="",E390=""),0,E390-D390))*1440,0)</x:f>
        <x:v>437</x:v>
      </x:c>
      <x:c r="L390" t="n">
        <x:v>440</x:v>
      </x:c>
      <x:c r="M390" t="n">
        <x:f>K390-L390</x:f>
        <x:v>-3</x:v>
      </x:c>
      <x:c r="N390" t="n">
        <x:f>MAX(0,M390)</x:f>
        <x:v>0</x:v>
      </x:c>
      <x:c r="O390" t="n">
        <x:f>MAX(0,-M390)</x:f>
        <x:v>3</x:v>
      </x:c>
      <x:c r="P390" t="str">
        <x:v>Ponto registrado — complemento ilustrativo</x:v>
      </x:c>
      <x:c r="Q390" t="str">
        <x:v>Saída da CONFERÊNCIA DE CAIXA; entrada/intervalo simulados</x:v>
      </x:c>
      <x:c r="R390" t="str">
        <x:v>2026-05</x:v>
      </x:c>
    </x:row>
    <x:row r="391" ht="21" customHeight="1">
      <x:c r="A391" s="83" t="n">
        <x:v>46169</x:v>
      </x:c>
      <x:c r="B391" t="str">
        <x:v>quarta-feira</x:v>
      </x:c>
      <x:c r="C391" s="85" t="n">
        <x:v>0.5381944444444444</x:v>
      </x:c>
      <x:c r="D391" s="85" t="n">
        <x:v>0.6708333333333333</x:v>
      </x:c>
      <x:c r="E391" s="85" t="n">
        <x:v>0.7111111111111111</x:v>
      </x:c>
      <x:c r="F391" s="85" t="n">
        <x:v>0.8895833333333333</x:v>
      </x:c>
      <x:c r="G391" t="str">
        <x:f>TEXT(INT(K391/60),"00")&amp;":"&amp;TEXT(MOD(K391,60),"00")</x:f>
        <x:v>07:28</x:v>
      </x:c>
      <x:c r="H391" t="str">
        <x:f>TEXT(INT(L391/60),"00")&amp;":"&amp;TEXT(MOD(L391,60),"00")</x:f>
        <x:v>07:20</x:v>
      </x:c>
      <x:c r="I391" t="str">
        <x:f>IF(N391&gt;0,"+"&amp;TEXT(INT(N391/60),"00")&amp;":"&amp;TEXT(MOD(N391,60),"00"),"00:00")</x:f>
        <x:v>+00:08</x:v>
      </x:c>
      <x:c r="J391" t="str">
        <x:f>IF(O391&gt;0,"-"&amp;TEXT(INT(O391/60),"00")&amp;":"&amp;TEXT(MOD(O391,60),"00"),"00:00")</x:f>
        <x:v>00:00</x:v>
      </x:c>
      <x:c r="K391" t="n">
        <x:f>ROUND((F391-C391-IF(OR(D391="",E391=""),0,E391-D391))*1440,0)</x:f>
        <x:v>448</x:v>
      </x:c>
      <x:c r="L391" t="n">
        <x:v>440</x:v>
      </x:c>
      <x:c r="M391" t="n">
        <x:f>K391-L391</x:f>
        <x:v>8</x:v>
      </x:c>
      <x:c r="N391" t="n">
        <x:f>MAX(0,M391)</x:f>
        <x:v>8</x:v>
      </x:c>
      <x:c r="O391" t="n">
        <x:f>MAX(0,-M391)</x:f>
        <x:v>0</x:v>
      </x:c>
      <x:c r="P391" t="str">
        <x:v>Ponto registrado — complemento ilustrativo</x:v>
      </x:c>
      <x:c r="Q391" t="str">
        <x:v>Saída da CONFERÊNCIA DE CAIXA; entrada/intervalo simulados</x:v>
      </x:c>
      <x:c r="R391" t="str">
        <x:v>2026-05</x:v>
      </x:c>
    </x:row>
    <x:row r="392" ht="21" customHeight="1">
      <x:c r="A392" s="83" t="n">
        <x:v>46170</x:v>
      </x:c>
      <x:c r="B392" t="str">
        <x:v>quinta-feira</x:v>
      </x:c>
      <x:c r="C392" s="85" t="n">
        <x:v>0.5381944444444444</x:v>
      </x:c>
      <x:c r="D392" s="85" t="n">
        <x:v>0.6680555555555555</x:v>
      </x:c>
      <x:c r="E392" s="85" t="n">
        <x:v>0.7083333333333334</x:v>
      </x:c>
      <x:c r="F392" s="85" t="n">
        <x:v>0.8895833333333333</x:v>
      </x:c>
      <x:c r="G392" t="str">
        <x:f>TEXT(INT(K392/60),"00")&amp;":"&amp;TEXT(MOD(K392,60),"00")</x:f>
        <x:v>07:28</x:v>
      </x:c>
      <x:c r="H392" t="str">
        <x:f>TEXT(INT(L392/60),"00")&amp;":"&amp;TEXT(MOD(L392,60),"00")</x:f>
        <x:v>07:20</x:v>
      </x:c>
      <x:c r="I392" t="str">
        <x:f>IF(N392&gt;0,"+"&amp;TEXT(INT(N392/60),"00")&amp;":"&amp;TEXT(MOD(N392,60),"00"),"00:00")</x:f>
        <x:v>+00:08</x:v>
      </x:c>
      <x:c r="J392" t="str">
        <x:f>IF(O392&gt;0,"-"&amp;TEXT(INT(O392/60),"00")&amp;":"&amp;TEXT(MOD(O392,60),"00"),"00:00")</x:f>
        <x:v>00:00</x:v>
      </x:c>
      <x:c r="K392" t="n">
        <x:f>ROUND((F392-C392-IF(OR(D392="",E392=""),0,E392-D392))*1440,0)</x:f>
        <x:v>448</x:v>
      </x:c>
      <x:c r="L392" t="n">
        <x:v>440</x:v>
      </x:c>
      <x:c r="M392" t="n">
        <x:f>K392-L392</x:f>
        <x:v>8</x:v>
      </x:c>
      <x:c r="N392" t="n">
        <x:f>MAX(0,M392)</x:f>
        <x:v>8</x:v>
      </x:c>
      <x:c r="O392" t="n">
        <x:f>MAX(0,-M392)</x:f>
        <x:v>0</x:v>
      </x:c>
      <x:c r="P392" t="str">
        <x:v>Ponto registrado — complemento ilustrativo</x:v>
      </x:c>
      <x:c r="Q392" t="str">
        <x:v>Saída da CONFERÊNCIA DE CAIXA; entrada/intervalo simulados</x:v>
      </x:c>
      <x:c r="R392" t="str">
        <x:v>2026-05</x:v>
      </x:c>
    </x:row>
    <x:row r="393" ht="21" customHeight="1">
      <x:c r="A393" s="83" t="n">
        <x:v>46171</x:v>
      </x:c>
      <x:c r="B393" t="str">
        <x:v>sexta-feira</x:v>
      </x:c>
      <x:c r="C393" s="85" t="n">
        <x:v>0.5395833333333333</x:v>
      </x:c>
      <x:c r="D393" s="85" t="n">
        <x:v>0.6673611111111111</x:v>
      </x:c>
      <x:c r="E393" s="85" t="n">
        <x:v>0.7097222222222223</x:v>
      </x:c>
      <x:c r="F393" s="85" t="n">
        <x:v>0.8902777777777777</x:v>
      </x:c>
      <x:c r="G393" t="str">
        <x:f>TEXT(INT(K393/60),"00")&amp;":"&amp;TEXT(MOD(K393,60),"00")</x:f>
        <x:v>07:24</x:v>
      </x:c>
      <x:c r="H393" t="str">
        <x:f>TEXT(INT(L393/60),"00")&amp;":"&amp;TEXT(MOD(L393,60),"00")</x:f>
        <x:v>07:20</x:v>
      </x:c>
      <x:c r="I393" t="str">
        <x:f>IF(N393&gt;0,"+"&amp;TEXT(INT(N393/60),"00")&amp;":"&amp;TEXT(MOD(N393,60),"00"),"00:00")</x:f>
        <x:v>+00:04</x:v>
      </x:c>
      <x:c r="J393" t="str">
        <x:f>IF(O393&gt;0,"-"&amp;TEXT(INT(O393/60),"00")&amp;":"&amp;TEXT(MOD(O393,60),"00"),"00:00")</x:f>
        <x:v>00:00</x:v>
      </x:c>
      <x:c r="K393" t="n">
        <x:f>ROUND((F393-C393-IF(OR(D393="",E393=""),0,E393-D393))*1440,0)</x:f>
        <x:v>444</x:v>
      </x:c>
      <x:c r="L393" t="n">
        <x:v>440</x:v>
      </x:c>
      <x:c r="M393" t="n">
        <x:f>K393-L393</x:f>
        <x:v>4</x:v>
      </x:c>
      <x:c r="N393" t="n">
        <x:f>MAX(0,M393)</x:f>
        <x:v>4</x:v>
      </x:c>
      <x:c r="O393" t="n">
        <x:f>MAX(0,-M393)</x:f>
        <x:v>0</x:v>
      </x:c>
      <x:c r="P393" t="str">
        <x:v>Ponto registrado — complemento ilustrativo</x:v>
      </x:c>
      <x:c r="Q393" t="str">
        <x:v>Saída da CONFERÊNCIA DE CAIXA; entrada/intervalo simulados</x:v>
      </x:c>
      <x:c r="R393" t="str">
        <x:v>2026-05</x:v>
      </x:c>
    </x:row>
    <x:row r="394" ht="21" customHeight="1">
      <x:c r="A394" s="83" t="n">
        <x:v>46172</x:v>
      </x:c>
      <x:c r="B394" t="str">
        <x:v>sábado</x:v>
      </x:c>
      <x:c r="C394" s="85" t="n">
        <x:v>0.5430555555555555</x:v>
      </x:c>
      <x:c r="D394" s="85"/>
      <x:c r="E394" s="85"/>
      <x:c r="F394" s="85" t="n">
        <x:v>0.7027777777777777</x:v>
      </x:c>
      <x:c r="G394" t="str">
        <x:f>TEXT(INT(K394/60),"00")&amp;":"&amp;TEXT(MOD(K394,60),"00")</x:f>
        <x:v>03:50</x:v>
      </x:c>
      <x:c r="H394" t="str">
        <x:f>TEXT(INT(L394/60),"00")&amp;":"&amp;TEXT(MOD(L394,60),"00")</x:f>
        <x:v>04:00</x:v>
      </x:c>
      <x:c r="I394" t="str">
        <x:f>IF(N394&gt;0,"+"&amp;TEXT(INT(N394/60),"00")&amp;":"&amp;TEXT(MOD(N394,60),"00"),"00:00")</x:f>
        <x:v>00:00</x:v>
      </x:c>
      <x:c r="J394" t="str">
        <x:f>IF(O394&gt;0,"-"&amp;TEXT(INT(O394/60),"00")&amp;":"&amp;TEXT(MOD(O394,60),"00"),"00:00")</x:f>
        <x:v>-00:10</x:v>
      </x:c>
      <x:c r="K394" t="n">
        <x:f>ROUND((F394-C394-IF(OR(D394="",E394=""),0,E394-D394))*1440,0)</x:f>
        <x:v>230</x:v>
      </x:c>
      <x:c r="L394" t="n">
        <x:v>240</x:v>
      </x:c>
      <x:c r="M394" t="n">
        <x:f>K394-L394</x:f>
        <x:v>-10</x:v>
      </x:c>
      <x:c r="N394" t="n">
        <x:f>MAX(0,M394)</x:f>
        <x:v>0</x:v>
      </x:c>
      <x:c r="O394" t="n">
        <x:f>MAX(0,-M394)</x:f>
        <x:v>10</x:v>
      </x:c>
      <x:c r="P394" t="str">
        <x:v>Ponto registrado — jornada revisada</x:v>
      </x:c>
      <x:c r="Q394" t="str">
        <x:v>Horários da planilha de jornadas revisada</x:v>
      </x:c>
      <x:c r="R394" t="str">
        <x:v>2026-05</x:v>
      </x:c>
    </x:row>
    <x:row r="395" ht="21" customHeight="1">
      <x:c r="A395" s="83" t="n">
        <x:v>46174</x:v>
      </x:c>
      <x:c r="B395" t="str">
        <x:v>segunda-feira</x:v>
      </x:c>
      <x:c r="C395" s="85" t="n">
        <x:v>0.5402777777777777</x:v>
      </x:c>
      <x:c r="D395" s="85" t="n">
        <x:v>0.6763888888888889</x:v>
      </x:c>
      <x:c r="E395" s="85" t="n">
        <x:v>0.7201388888888889</x:v>
      </x:c>
      <x:c r="F395" s="85" t="n">
        <x:v>0.8895833333333333</x:v>
      </x:c>
      <x:c r="G395" t="str">
        <x:f>TEXT(INT(K395/60),"00")&amp;":"&amp;TEXT(MOD(K395,60),"00")</x:f>
        <x:v>07:20</x:v>
      </x:c>
      <x:c r="H395" t="str">
        <x:f>TEXT(INT(L395/60),"00")&amp;":"&amp;TEXT(MOD(L395,60),"00")</x:f>
        <x:v>07:20</x:v>
      </x:c>
      <x:c r="I395" t="str">
        <x:f>IF(N395&gt;0,"+"&amp;TEXT(INT(N395/60),"00")&amp;":"&amp;TEXT(MOD(N395,60),"00"),"00:00")</x:f>
        <x:v>00:00</x:v>
      </x:c>
      <x:c r="J395" t="str">
        <x:f>IF(O395&gt;0,"-"&amp;TEXT(INT(O395/60),"00")&amp;":"&amp;TEXT(MOD(O395,60),"00"),"00:00")</x:f>
        <x:v>00:00</x:v>
      </x:c>
      <x:c r="K395" t="n">
        <x:f>ROUND((F395-C395-IF(OR(D395="",E395=""),0,E395-D395))*1440,0)</x:f>
        <x:v>440</x:v>
      </x:c>
      <x:c r="L395" t="n">
        <x:v>440</x:v>
      </x:c>
      <x:c r="M395" t="n">
        <x:f>K395-L395</x:f>
        <x:v>0</x:v>
      </x:c>
      <x:c r="N395" t="n">
        <x:f>MAX(0,M395)</x:f>
        <x:v>0</x:v>
      </x:c>
      <x:c r="O395" t="n">
        <x:f>MAX(0,-M395)</x:f>
        <x:v>0</x:v>
      </x:c>
      <x:c r="P395" t="str">
        <x:v>Ponto registrado — complemento ilustrativo</x:v>
      </x:c>
      <x:c r="Q395" t="str">
        <x:v>Saída da CONFERÊNCIA DE CAIXA; entrada/intervalo simulados</x:v>
      </x:c>
      <x:c r="R395" t="str">
        <x:v>2026-06</x:v>
      </x:c>
    </x:row>
    <x:row r="396" ht="21" customHeight="1">
      <x:c r="A396" s="83" t="n">
        <x:v>46175</x:v>
      </x:c>
      <x:c r="B396" t="str">
        <x:v>terça-feira</x:v>
      </x:c>
      <x:c r="C396" s="85" t="n">
        <x:v>0.5402777777777777</x:v>
      </x:c>
      <x:c r="D396" s="85" t="n">
        <x:v>0.6701388888888888</x:v>
      </x:c>
      <x:c r="E396" s="85" t="n">
        <x:v>0.7111111111111111</x:v>
      </x:c>
      <x:c r="F396" s="85" t="n">
        <x:v>0.8902777777777777</x:v>
      </x:c>
      <x:c r="G396" t="str">
        <x:f>TEXT(INT(K396/60),"00")&amp;":"&amp;TEXT(MOD(K396,60),"00")</x:f>
        <x:v>07:25</x:v>
      </x:c>
      <x:c r="H396" t="str">
        <x:f>TEXT(INT(L396/60),"00")&amp;":"&amp;TEXT(MOD(L396,60),"00")</x:f>
        <x:v>07:20</x:v>
      </x:c>
      <x:c r="I396" t="str">
        <x:f>IF(N396&gt;0,"+"&amp;TEXT(INT(N396/60),"00")&amp;":"&amp;TEXT(MOD(N396,60),"00"),"00:00")</x:f>
        <x:v>+00:05</x:v>
      </x:c>
      <x:c r="J396" t="str">
        <x:f>IF(O396&gt;0,"-"&amp;TEXT(INT(O396/60),"00")&amp;":"&amp;TEXT(MOD(O396,60),"00"),"00:00")</x:f>
        <x:v>00:00</x:v>
      </x:c>
      <x:c r="K396" t="n">
        <x:f>ROUND((F396-C396-IF(OR(D396="",E396=""),0,E396-D396))*1440,0)</x:f>
        <x:v>445</x:v>
      </x:c>
      <x:c r="L396" t="n">
        <x:v>440</x:v>
      </x:c>
      <x:c r="M396" t="n">
        <x:f>K396-L396</x:f>
        <x:v>5</x:v>
      </x:c>
      <x:c r="N396" t="n">
        <x:f>MAX(0,M396)</x:f>
        <x:v>5</x:v>
      </x:c>
      <x:c r="O396" t="n">
        <x:f>MAX(0,-M396)</x:f>
        <x:v>0</x:v>
      </x:c>
      <x:c r="P396" t="str">
        <x:v>Ponto registrado — complemento ilustrativo</x:v>
      </x:c>
      <x:c r="Q396" t="str">
        <x:v>Saída da CONFERÊNCIA DE CAIXA; entrada/intervalo simulados</x:v>
      </x:c>
      <x:c r="R396" t="str">
        <x:v>2026-06</x:v>
      </x:c>
    </x:row>
    <x:row r="397" ht="21" customHeight="1">
      <x:c r="A397" s="83" t="n">
        <x:v>46176</x:v>
      </x:c>
      <x:c r="B397" t="str">
        <x:v>quarta-feira</x:v>
      </x:c>
      <x:c r="C397" s="85" t="n">
        <x:v>0.5388888888888889</x:v>
      </x:c>
      <x:c r="D397" s="85" t="n">
        <x:v>0.6736111111111112</x:v>
      </x:c>
      <x:c r="E397" s="85" t="n">
        <x:v>0.7159722222222222</x:v>
      </x:c>
      <x:c r="F397" s="85" t="n">
        <x:v>0.8888888888888888</x:v>
      </x:c>
      <x:c r="G397" t="str">
        <x:f>TEXT(INT(K397/60),"00")&amp;":"&amp;TEXT(MOD(K397,60),"00")</x:f>
        <x:v>07:23</x:v>
      </x:c>
      <x:c r="H397" t="str">
        <x:f>TEXT(INT(L397/60),"00")&amp;":"&amp;TEXT(MOD(L397,60),"00")</x:f>
        <x:v>07:20</x:v>
      </x:c>
      <x:c r="I397" t="str">
        <x:f>IF(N397&gt;0,"+"&amp;TEXT(INT(N397/60),"00")&amp;":"&amp;TEXT(MOD(N397,60),"00"),"00:00")</x:f>
        <x:v>+00:03</x:v>
      </x:c>
      <x:c r="J397" t="str">
        <x:f>IF(O397&gt;0,"-"&amp;TEXT(INT(O397/60),"00")&amp;":"&amp;TEXT(MOD(O397,60),"00"),"00:00")</x:f>
        <x:v>00:00</x:v>
      </x:c>
      <x:c r="K397" t="n">
        <x:f>ROUND((F397-C397-IF(OR(D397="",E397=""),0,E397-D397))*1440,0)</x:f>
        <x:v>443</x:v>
      </x:c>
      <x:c r="L397" t="n">
        <x:v>440</x:v>
      </x:c>
      <x:c r="M397" t="n">
        <x:f>K397-L397</x:f>
        <x:v>3</x:v>
      </x:c>
      <x:c r="N397" t="n">
        <x:f>MAX(0,M397)</x:f>
        <x:v>3</x:v>
      </x:c>
      <x:c r="O397" t="n">
        <x:f>MAX(0,-M397)</x:f>
        <x:v>0</x:v>
      </x:c>
      <x:c r="P397" t="str">
        <x:v>Ponto registrado — complemento ilustrativo</x:v>
      </x:c>
      <x:c r="Q397" t="str">
        <x:v>Saída da CONFERÊNCIA DE CAIXA; entrada/intervalo simulados</x:v>
      </x:c>
      <x:c r="R397" t="str">
        <x:v>2026-06</x:v>
      </x:c>
    </x:row>
    <x:row r="398" ht="21" customHeight="1">
      <x:c r="A398" s="83" t="n">
        <x:v>46177</x:v>
      </x:c>
      <x:c r="B398" t="str">
        <x:v>quinta-feira</x:v>
      </x:c>
      <x:c r="C398" s="85" t="n">
        <x:v>0.5444444444444444</x:v>
      </x:c>
      <x:c r="D398" s="85" t="n">
        <x:v>0.6743055555555556</x:v>
      </x:c>
      <x:c r="E398" s="85" t="n">
        <x:v>0.7180555555555556</x:v>
      </x:c>
      <x:c r="F398" s="85" t="n">
        <x:v>0.8909722222222223</x:v>
      </x:c>
      <x:c r="G398" t="str">
        <x:f>TEXT(INT(K398/60),"00")&amp;":"&amp;TEXT(MOD(K398,60),"00")</x:f>
        <x:v>07:16</x:v>
      </x:c>
      <x:c r="H398" t="str">
        <x:f>TEXT(INT(L398/60),"00")&amp;":"&amp;TEXT(MOD(L398,60),"00")</x:f>
        <x:v>07:20</x:v>
      </x:c>
      <x:c r="I398" t="str">
        <x:f>IF(N398&gt;0,"+"&amp;TEXT(INT(N398/60),"00")&amp;":"&amp;TEXT(MOD(N398,60),"00"),"00:00")</x:f>
        <x:v>00:00</x:v>
      </x:c>
      <x:c r="J398" t="str">
        <x:f>IF(O398&gt;0,"-"&amp;TEXT(INT(O398/60),"00")&amp;":"&amp;TEXT(MOD(O398,60),"00"),"00:00")</x:f>
        <x:v>-00:04</x:v>
      </x:c>
      <x:c r="K398" t="n">
        <x:f>ROUND((F398-C398-IF(OR(D398="",E398=""),0,E398-D398))*1440,0)</x:f>
        <x:v>436</x:v>
      </x:c>
      <x:c r="L398" t="n">
        <x:v>440</x:v>
      </x:c>
      <x:c r="M398" t="n">
        <x:f>K398-L398</x:f>
        <x:v>-4</x:v>
      </x:c>
      <x:c r="N398" t="n">
        <x:f>MAX(0,M398)</x:f>
        <x:v>0</x:v>
      </x:c>
      <x:c r="O398" t="n">
        <x:f>MAX(0,-M398)</x:f>
        <x:v>4</x:v>
      </x:c>
      <x:c r="P398" t="str">
        <x:v>Ponto registrado — complemento ilustrativo</x:v>
      </x:c>
      <x:c r="Q398" t="str">
        <x:v>Saída da CONFERÊNCIA DE CAIXA; entrada/intervalo simulados</x:v>
      </x:c>
      <x:c r="R398" t="str">
        <x:v>2026-06</x:v>
      </x:c>
    </x:row>
    <x:row r="399" ht="21" customHeight="1">
      <x:c r="A399" s="83" t="n">
        <x:v>46178</x:v>
      </x:c>
      <x:c r="B399" t="str">
        <x:v>sexta-feira</x:v>
      </x:c>
      <x:c r="C399" s="85" t="n">
        <x:v>0.5472222222222223</x:v>
      </x:c>
      <x:c r="D399" s="85" t="n">
        <x:v>0.6673611111111111</x:v>
      </x:c>
      <x:c r="E399" s="85" t="n">
        <x:v>0.7069444444444445</x:v>
      </x:c>
      <x:c r="F399" s="85" t="n">
        <x:v>0.8888888888888888</x:v>
      </x:c>
      <x:c r="G399" t="str">
        <x:f>TEXT(INT(K399/60),"00")&amp;":"&amp;TEXT(MOD(K399,60),"00")</x:f>
        <x:v>07:15</x:v>
      </x:c>
      <x:c r="H399" t="str">
        <x:f>TEXT(INT(L399/60),"00")&amp;":"&amp;TEXT(MOD(L399,60),"00")</x:f>
        <x:v>07:20</x:v>
      </x:c>
      <x:c r="I399" t="str">
        <x:f>IF(N399&gt;0,"+"&amp;TEXT(INT(N399/60),"00")&amp;":"&amp;TEXT(MOD(N399,60),"00"),"00:00")</x:f>
        <x:v>00:00</x:v>
      </x:c>
      <x:c r="J399" t="str">
        <x:f>IF(O399&gt;0,"-"&amp;TEXT(INT(O399/60),"00")&amp;":"&amp;TEXT(MOD(O399,60),"00"),"00:00")</x:f>
        <x:v>-00:05</x:v>
      </x:c>
      <x:c r="K399" t="n">
        <x:f>ROUND((F399-C399-IF(OR(D399="",E399=""),0,E399-D399))*1440,0)</x:f>
        <x:v>435</x:v>
      </x:c>
      <x:c r="L399" t="n">
        <x:v>440</x:v>
      </x:c>
      <x:c r="M399" t="n">
        <x:f>K399-L399</x:f>
        <x:v>-5</x:v>
      </x:c>
      <x:c r="N399" t="n">
        <x:f>MAX(0,M399)</x:f>
        <x:v>0</x:v>
      </x:c>
      <x:c r="O399" t="n">
        <x:f>MAX(0,-M399)</x:f>
        <x:v>5</x:v>
      </x:c>
      <x:c r="P399" t="str">
        <x:v>Ponto registrado — complemento ilustrativo</x:v>
      </x:c>
      <x:c r="Q399" t="str">
        <x:v>Saída da CONFERÊNCIA DE CAIXA; entrada/intervalo simulados</x:v>
      </x:c>
      <x:c r="R399" t="str">
        <x:v>2026-06</x:v>
      </x:c>
    </x:row>
    <x:row r="400" ht="21" customHeight="1">
      <x:c r="A400" s="83" t="n">
        <x:v>46179</x:v>
      </x:c>
      <x:c r="B400" t="str">
        <x:v>sábado</x:v>
      </x:c>
      <x:c r="C400" s="85" t="n">
        <x:v>0.5451388888888888</x:v>
      </x:c>
      <x:c r="D400" s="85"/>
      <x:c r="E400" s="85"/>
      <x:c r="F400" s="85" t="n">
        <x:v>0.7020833333333333</x:v>
      </x:c>
      <x:c r="G400" t="str">
        <x:f>TEXT(INT(K400/60),"00")&amp;":"&amp;TEXT(MOD(K400,60),"00")</x:f>
        <x:v>03:46</x:v>
      </x:c>
      <x:c r="H400" t="str">
        <x:f>TEXT(INT(L400/60),"00")&amp;":"&amp;TEXT(MOD(L400,60),"00")</x:f>
        <x:v>04:00</x:v>
      </x:c>
      <x:c r="I400" t="str">
        <x:f>IF(N400&gt;0,"+"&amp;TEXT(INT(N400/60),"00")&amp;":"&amp;TEXT(MOD(N400,60),"00"),"00:00")</x:f>
        <x:v>00:00</x:v>
      </x:c>
      <x:c r="J400" t="str">
        <x:f>IF(O400&gt;0,"-"&amp;TEXT(INT(O400/60),"00")&amp;":"&amp;TEXT(MOD(O400,60),"00"),"00:00")</x:f>
        <x:v>-00:14</x:v>
      </x:c>
      <x:c r="K400" t="n">
        <x:f>ROUND((F400-C400-IF(OR(D400="",E400=""),0,E400-D400))*1440,0)</x:f>
        <x:v>226</x:v>
      </x:c>
      <x:c r="L400" t="n">
        <x:v>240</x:v>
      </x:c>
      <x:c r="M400" t="n">
        <x:f>K400-L400</x:f>
        <x:v>-14</x:v>
      </x:c>
      <x:c r="N400" t="n">
        <x:f>MAX(0,M400)</x:f>
        <x:v>0</x:v>
      </x:c>
      <x:c r="O400" t="n">
        <x:f>MAX(0,-M400)</x:f>
        <x:v>14</x:v>
      </x:c>
      <x:c r="P400" t="str">
        <x:v>Ponto registrado — complemento ilustrativo</x:v>
      </x:c>
      <x:c r="Q400" t="str">
        <x:v>Saída da CONFERÊNCIA DE CAIXA; entrada/intervalo simulados</x:v>
      </x:c>
      <x:c r="R400" t="str">
        <x:v>2026-06</x:v>
      </x:c>
    </x:row>
    <x:row r="401" ht="21" customHeight="1">
      <x:c r="A401" s="83" t="n">
        <x:v>46181</x:v>
      </x:c>
      <x:c r="B401" t="str">
        <x:v>segunda-feira</x:v>
      </x:c>
      <x:c r="C401" s="85" t="n">
        <x:v>0.5423611111111111</x:v>
      </x:c>
      <x:c r="D401" s="85" t="n">
        <x:v>0.6673611111111111</x:v>
      </x:c>
      <x:c r="E401" s="85" t="n">
        <x:v>0.7090277777777778</x:v>
      </x:c>
      <x:c r="F401" s="85" t="n">
        <x:v>0.8895833333333333</x:v>
      </x:c>
      <x:c r="G401" t="str">
        <x:f>TEXT(INT(K401/60),"00")&amp;":"&amp;TEXT(MOD(K401,60),"00")</x:f>
        <x:v>07:20</x:v>
      </x:c>
      <x:c r="H401" t="str">
        <x:f>TEXT(INT(L401/60),"00")&amp;":"&amp;TEXT(MOD(L401,60),"00")</x:f>
        <x:v>07:20</x:v>
      </x:c>
      <x:c r="I401" t="str">
        <x:f>IF(N401&gt;0,"+"&amp;TEXT(INT(N401/60),"00")&amp;":"&amp;TEXT(MOD(N401,60),"00"),"00:00")</x:f>
        <x:v>00:00</x:v>
      </x:c>
      <x:c r="J401" t="str">
        <x:f>IF(O401&gt;0,"-"&amp;TEXT(INT(O401/60),"00")&amp;":"&amp;TEXT(MOD(O401,60),"00"),"00:00")</x:f>
        <x:v>00:00</x:v>
      </x:c>
      <x:c r="K401" t="n">
        <x:f>ROUND((F401-C401-IF(OR(D401="",E401=""),0,E401-D401))*1440,0)</x:f>
        <x:v>440</x:v>
      </x:c>
      <x:c r="L401" t="n">
        <x:v>440</x:v>
      </x:c>
      <x:c r="M401" t="n">
        <x:f>K401-L401</x:f>
        <x:v>0</x:v>
      </x:c>
      <x:c r="N401" t="n">
        <x:f>MAX(0,M401)</x:f>
        <x:v>0</x:v>
      </x:c>
      <x:c r="O401" t="n">
        <x:f>MAX(0,-M401)</x:f>
        <x:v>0</x:v>
      </x:c>
      <x:c r="P401" t="str">
        <x:v>Ponto registrado — complemento ilustrativo</x:v>
      </x:c>
      <x:c r="Q401" t="str">
        <x:v>Saída da CONFERÊNCIA DE CAIXA; entrada/intervalo simulados</x:v>
      </x:c>
      <x:c r="R401" t="str">
        <x:v>2026-06</x:v>
      </x:c>
    </x:row>
    <x:row r="402" ht="21" customHeight="1">
      <x:c r="A402" s="83" t="n">
        <x:v>46182</x:v>
      </x:c>
      <x:c r="B402" t="str">
        <x:v>terça-feira</x:v>
      </x:c>
      <x:c r="C402" s="85" t="n">
        <x:v>0.5444444444444444</x:v>
      </x:c>
      <x:c r="D402" s="85" t="n">
        <x:v>0.6840277777777778</x:v>
      </x:c>
      <x:c r="E402" s="85" t="n">
        <x:v>0.7222222222222222</x:v>
      </x:c>
      <x:c r="F402" s="85" t="n">
        <x:v>0.8909722222222223</x:v>
      </x:c>
      <x:c r="G402" t="str">
        <x:f>TEXT(INT(K402/60),"00")&amp;":"&amp;TEXT(MOD(K402,60),"00")</x:f>
        <x:v>07:24</x:v>
      </x:c>
      <x:c r="H402" t="str">
        <x:f>TEXT(INT(L402/60),"00")&amp;":"&amp;TEXT(MOD(L402,60),"00")</x:f>
        <x:v>07:20</x:v>
      </x:c>
      <x:c r="I402" t="str">
        <x:f>IF(N402&gt;0,"+"&amp;TEXT(INT(N402/60),"00")&amp;":"&amp;TEXT(MOD(N402,60),"00"),"00:00")</x:f>
        <x:v>+00:04</x:v>
      </x:c>
      <x:c r="J402" t="str">
        <x:f>IF(O402&gt;0,"-"&amp;TEXT(INT(O402/60),"00")&amp;":"&amp;TEXT(MOD(O402,60),"00"),"00:00")</x:f>
        <x:v>00:00</x:v>
      </x:c>
      <x:c r="K402" t="n">
        <x:f>ROUND((F402-C402-IF(OR(D402="",E402=""),0,E402-D402))*1440,0)</x:f>
        <x:v>444</x:v>
      </x:c>
      <x:c r="L402" t="n">
        <x:v>440</x:v>
      </x:c>
      <x:c r="M402" t="n">
        <x:f>K402-L402</x:f>
        <x:v>4</x:v>
      </x:c>
      <x:c r="N402" t="n">
        <x:f>MAX(0,M402)</x:f>
        <x:v>4</x:v>
      </x:c>
      <x:c r="O402" t="n">
        <x:f>MAX(0,-M402)</x:f>
        <x:v>0</x:v>
      </x:c>
      <x:c r="P402" t="str">
        <x:v>Ponto registrado — jornada revisada</x:v>
      </x:c>
      <x:c r="Q402" t="str">
        <x:v>Horários da planilha de jornadas revisada</x:v>
      </x:c>
      <x:c r="R402" t="str">
        <x:v>2026-06</x:v>
      </x:c>
    </x:row>
    <x:row r="403" ht="21" customHeight="1">
      <x:c r="A403" s="83" t="n">
        <x:v>46183</x:v>
      </x:c>
      <x:c r="B403" t="str">
        <x:v>quarta-feira</x:v>
      </x:c>
      <x:c r="C403" s="85" t="n">
        <x:v>0.5430555555555555</x:v>
      </x:c>
      <x:c r="D403" s="85" t="n">
        <x:v>0.6756944444444445</x:v>
      </x:c>
      <x:c r="E403" s="85" t="n">
        <x:v>0.7173611111111111</x:v>
      </x:c>
      <x:c r="F403" s="85" t="n">
        <x:v>0.8847222222222222</x:v>
      </x:c>
      <x:c r="G403" t="str">
        <x:f>TEXT(INT(K403/60),"00")&amp;":"&amp;TEXT(MOD(K403,60),"00")</x:f>
        <x:v>07:12</x:v>
      </x:c>
      <x:c r="H403" t="str">
        <x:f>TEXT(INT(L403/60),"00")&amp;":"&amp;TEXT(MOD(L403,60),"00")</x:f>
        <x:v>07:20</x:v>
      </x:c>
      <x:c r="I403" t="str">
        <x:f>IF(N403&gt;0,"+"&amp;TEXT(INT(N403/60),"00")&amp;":"&amp;TEXT(MOD(N403,60),"00"),"00:00")</x:f>
        <x:v>00:00</x:v>
      </x:c>
      <x:c r="J403" t="str">
        <x:f>IF(O403&gt;0,"-"&amp;TEXT(INT(O403/60),"00")&amp;":"&amp;TEXT(MOD(O403,60),"00"),"00:00")</x:f>
        <x:v>-00:08</x:v>
      </x:c>
      <x:c r="K403" t="n">
        <x:f>ROUND((F403-C403-IF(OR(D403="",E403=""),0,E403-D403))*1440,0)</x:f>
        <x:v>432</x:v>
      </x:c>
      <x:c r="L403" t="n">
        <x:v>440</x:v>
      </x:c>
      <x:c r="M403" t="n">
        <x:f>K403-L403</x:f>
        <x:v>-8</x:v>
      </x:c>
      <x:c r="N403" t="n">
        <x:f>MAX(0,M403)</x:f>
        <x:v>0</x:v>
      </x:c>
      <x:c r="O403" t="n">
        <x:f>MAX(0,-M403)</x:f>
        <x:v>8</x:v>
      </x:c>
      <x:c r="P403" t="str">
        <x:v>Ponto registrado — complemento ilustrativo</x:v>
      </x:c>
      <x:c r="Q403" t="str">
        <x:v>Saída da CONFERÊNCIA DE CAIXA; entrada/intervalo simulados</x:v>
      </x:c>
      <x:c r="R403" t="str">
        <x:v>2026-06</x:v>
      </x:c>
    </x:row>
    <x:row r="404" ht="21" customHeight="1">
      <x:c r="A404" s="83" t="n">
        <x:v>46184</x:v>
      </x:c>
      <x:c r="B404" t="str">
        <x:v>quinta-feira</x:v>
      </x:c>
      <x:c r="C404" s="85" t="n">
        <x:v>0.5416666666666666</x:v>
      </x:c>
      <x:c r="D404" s="85" t="n">
        <x:v>0.6666666666666666</x:v>
      </x:c>
      <x:c r="E404" s="85" t="n">
        <x:v>0.7090277777777778</x:v>
      </x:c>
      <x:c r="F404" s="85" t="n">
        <x:v>0.8888888888888888</x:v>
      </x:c>
      <x:c r="G404" t="str">
        <x:f>TEXT(INT(K404/60),"00")&amp;":"&amp;TEXT(MOD(K404,60),"00")</x:f>
        <x:v>07:19</x:v>
      </x:c>
      <x:c r="H404" t="str">
        <x:f>TEXT(INT(L404/60),"00")&amp;":"&amp;TEXT(MOD(L404,60),"00")</x:f>
        <x:v>07:20</x:v>
      </x:c>
      <x:c r="I404" t="str">
        <x:f>IF(N404&gt;0,"+"&amp;TEXT(INT(N404/60),"00")&amp;":"&amp;TEXT(MOD(N404,60),"00"),"00:00")</x:f>
        <x:v>00:00</x:v>
      </x:c>
      <x:c r="J404" t="str">
        <x:f>IF(O404&gt;0,"-"&amp;TEXT(INT(O404/60),"00")&amp;":"&amp;TEXT(MOD(O404,60),"00"),"00:00")</x:f>
        <x:v>-00:01</x:v>
      </x:c>
      <x:c r="K404" t="n">
        <x:f>ROUND((F404-C404-IF(OR(D404="",E404=""),0,E404-D404))*1440,0)</x:f>
        <x:v>439</x:v>
      </x:c>
      <x:c r="L404" t="n">
        <x:v>440</x:v>
      </x:c>
      <x:c r="M404" t="n">
        <x:f>K404-L404</x:f>
        <x:v>-1</x:v>
      </x:c>
      <x:c r="N404" t="n">
        <x:f>MAX(0,M404)</x:f>
        <x:v>0</x:v>
      </x:c>
      <x:c r="O404" t="n">
        <x:f>MAX(0,-M404)</x:f>
        <x:v>1</x:v>
      </x:c>
      <x:c r="P404" t="str">
        <x:v>Ponto registrado — complemento ilustrativo</x:v>
      </x:c>
      <x:c r="Q404" t="str">
        <x:v>Saída da CONFERÊNCIA DE CAIXA; entrada/intervalo simulados</x:v>
      </x:c>
      <x:c r="R404" t="str">
        <x:v>2026-06</x:v>
      </x:c>
    </x:row>
    <x:row r="405" ht="21" customHeight="1">
      <x:c r="A405" s="83" t="n">
        <x:v>46185</x:v>
      </x:c>
      <x:c r="B405" t="str">
        <x:v>sexta-feira</x:v>
      </x:c>
      <x:c r="C405" s="85" t="n">
        <x:v>0.5402777777777777</x:v>
      </x:c>
      <x:c r="D405" s="85" t="n">
        <x:v>0.6770833333333334</x:v>
      </x:c>
      <x:c r="E405" s="85" t="n">
        <x:v>0.7173611111111111</x:v>
      </x:c>
      <x:c r="F405" s="85" t="n">
        <x:v>0.8833333333333333</x:v>
      </x:c>
      <x:c r="G405" t="str">
        <x:f>TEXT(INT(K405/60),"00")&amp;":"&amp;TEXT(MOD(K405,60),"00")</x:f>
        <x:v>07:16</x:v>
      </x:c>
      <x:c r="H405" t="str">
        <x:f>TEXT(INT(L405/60),"00")&amp;":"&amp;TEXT(MOD(L405,60),"00")</x:f>
        <x:v>07:20</x:v>
      </x:c>
      <x:c r="I405" t="str">
        <x:f>IF(N405&gt;0,"+"&amp;TEXT(INT(N405/60),"00")&amp;":"&amp;TEXT(MOD(N405,60),"00"),"00:00")</x:f>
        <x:v>00:00</x:v>
      </x:c>
      <x:c r="J405" t="str">
        <x:f>IF(O405&gt;0,"-"&amp;TEXT(INT(O405/60),"00")&amp;":"&amp;TEXT(MOD(O405,60),"00"),"00:00")</x:f>
        <x:v>-00:04</x:v>
      </x:c>
      <x:c r="K405" t="n">
        <x:f>ROUND((F405-C405-IF(OR(D405="",E405=""),0,E405-D405))*1440,0)</x:f>
        <x:v>436</x:v>
      </x:c>
      <x:c r="L405" t="n">
        <x:v>440</x:v>
      </x:c>
      <x:c r="M405" t="n">
        <x:f>K405-L405</x:f>
        <x:v>-4</x:v>
      </x:c>
      <x:c r="N405" t="n">
        <x:f>MAX(0,M405)</x:f>
        <x:v>0</x:v>
      </x:c>
      <x:c r="O405" t="n">
        <x:f>MAX(0,-M405)</x:f>
        <x:v>4</x:v>
      </x:c>
      <x:c r="P405" t="str">
        <x:v>Ponto registrado — complemento ilustrativo</x:v>
      </x:c>
      <x:c r="Q405" t="str">
        <x:v>Saída da CONFERÊNCIA DE CAIXA; entrada/intervalo simulados</x:v>
      </x:c>
      <x:c r="R405" t="str">
        <x:v>2026-06</x:v>
      </x:c>
    </x:row>
    <x:row r="406" ht="21" customHeight="1">
      <x:c r="A406" s="83" t="n">
        <x:v>46186</x:v>
      </x:c>
      <x:c r="B406" t="str">
        <x:v>sábado</x:v>
      </x:c>
      <x:c r="C406" s="85" t="n">
        <x:v>0.5409722222222222</x:v>
      </x:c>
      <x:c r="D406" s="85"/>
      <x:c r="E406" s="85"/>
      <x:c r="F406" s="85" t="n">
        <x:v>0.7020833333333333</x:v>
      </x:c>
      <x:c r="G406" t="str">
        <x:f>TEXT(INT(K406/60),"00")&amp;":"&amp;TEXT(MOD(K406,60),"00")</x:f>
        <x:v>03:52</x:v>
      </x:c>
      <x:c r="H406" t="str">
        <x:f>TEXT(INT(L406/60),"00")&amp;":"&amp;TEXT(MOD(L406,60),"00")</x:f>
        <x:v>04:00</x:v>
      </x:c>
      <x:c r="I406" t="str">
        <x:f>IF(N406&gt;0,"+"&amp;TEXT(INT(N406/60),"00")&amp;":"&amp;TEXT(MOD(N406,60),"00"),"00:00")</x:f>
        <x:v>00:00</x:v>
      </x:c>
      <x:c r="J406" t="str">
        <x:f>IF(O406&gt;0,"-"&amp;TEXT(INT(O406/60),"00")&amp;":"&amp;TEXT(MOD(O406,60),"00"),"00:00")</x:f>
        <x:v>-00:08</x:v>
      </x:c>
      <x:c r="K406" t="n">
        <x:f>ROUND((F406-C406-IF(OR(D406="",E406=""),0,E406-D406))*1440,0)</x:f>
        <x:v>232</x:v>
      </x:c>
      <x:c r="L406" t="n">
        <x:v>240</x:v>
      </x:c>
      <x:c r="M406" t="n">
        <x:f>K406-L406</x:f>
        <x:v>-8</x:v>
      </x:c>
      <x:c r="N406" t="n">
        <x:f>MAX(0,M406)</x:f>
        <x:v>0</x:v>
      </x:c>
      <x:c r="O406" t="n">
        <x:f>MAX(0,-M406)</x:f>
        <x:v>8</x:v>
      </x:c>
      <x:c r="P406" t="str">
        <x:v>Ponto registrado — complemento ilustrativo</x:v>
      </x:c>
      <x:c r="Q406" t="str">
        <x:v>Saída da CONFERÊNCIA DE CAIXA; entrada/intervalo simulados</x:v>
      </x:c>
      <x:c r="R406" t="str">
        <x:v>2026-06</x:v>
      </x:c>
    </x:row>
    <x:row r="407" ht="21" customHeight="1">
      <x:c r="A407" s="83" t="n">
        <x:v>46188</x:v>
      </x:c>
      <x:c r="B407" t="str">
        <x:v>segunda-feira</x:v>
      </x:c>
      <x:c r="C407" s="85" t="n">
        <x:v>0.5423611111111111</x:v>
      </x:c>
      <x:c r="D407" s="85" t="n">
        <x:v>0.6784722222222223</x:v>
      </x:c>
      <x:c r="E407" s="85" t="n">
        <x:v>0.7180555555555556</x:v>
      </x:c>
      <x:c r="F407" s="85" t="n">
        <x:v>0.8868055555555555</x:v>
      </x:c>
      <x:c r="G407" t="str">
        <x:f>TEXT(INT(K407/60),"00")&amp;":"&amp;TEXT(MOD(K407,60),"00")</x:f>
        <x:v>07:19</x:v>
      </x:c>
      <x:c r="H407" t="str">
        <x:f>TEXT(INT(L407/60),"00")&amp;":"&amp;TEXT(MOD(L407,60),"00")</x:f>
        <x:v>07:20</x:v>
      </x:c>
      <x:c r="I407" t="str">
        <x:f>IF(N407&gt;0,"+"&amp;TEXT(INT(N407/60),"00")&amp;":"&amp;TEXT(MOD(N407,60),"00"),"00:00")</x:f>
        <x:v>00:00</x:v>
      </x:c>
      <x:c r="J407" t="str">
        <x:f>IF(O407&gt;0,"-"&amp;TEXT(INT(O407/60),"00")&amp;":"&amp;TEXT(MOD(O407,60),"00"),"00:00")</x:f>
        <x:v>-00:01</x:v>
      </x:c>
      <x:c r="K407" t="n">
        <x:f>ROUND((F407-C407-IF(OR(D407="",E407=""),0,E407-D407))*1440,0)</x:f>
        <x:v>439</x:v>
      </x:c>
      <x:c r="L407" t="n">
        <x:v>440</x:v>
      </x:c>
      <x:c r="M407" t="n">
        <x:f>K407-L407</x:f>
        <x:v>-1</x:v>
      </x:c>
      <x:c r="N407" t="n">
        <x:f>MAX(0,M407)</x:f>
        <x:v>0</x:v>
      </x:c>
      <x:c r="O407" t="n">
        <x:f>MAX(0,-M407)</x:f>
        <x:v>1</x:v>
      </x:c>
      <x:c r="P407" t="str">
        <x:v>Ponto registrado — complemento ilustrativo</x:v>
      </x:c>
      <x:c r="Q407" t="str">
        <x:v>Saída da CONFERÊNCIA DE CAIXA; entrada/intervalo simulados</x:v>
      </x:c>
      <x:c r="R407" t="str">
        <x:v>2026-06</x:v>
      </x:c>
    </x:row>
    <x:row r="408" ht="21" customHeight="1">
      <x:c r="A408" s="83" t="n">
        <x:v>46189</x:v>
      </x:c>
      <x:c r="B408" t="str">
        <x:v>terça-feira</x:v>
      </x:c>
      <x:c r="C408" s="85" t="n">
        <x:v>0.5472222222222223</x:v>
      </x:c>
      <x:c r="D408" s="85" t="n">
        <x:v>0.6715277777777777</x:v>
      </x:c>
      <x:c r="E408" s="85" t="n">
        <x:v>0.7131944444444445</x:v>
      </x:c>
      <x:c r="F408" s="85" t="n">
        <x:v>0.8881944444444444</x:v>
      </x:c>
      <x:c r="G408" t="str">
        <x:f>TEXT(INT(K408/60),"00")&amp;":"&amp;TEXT(MOD(K408,60),"00")</x:f>
        <x:v>07:11</x:v>
      </x:c>
      <x:c r="H408" t="str">
        <x:f>TEXT(INT(L408/60),"00")&amp;":"&amp;TEXT(MOD(L408,60),"00")</x:f>
        <x:v>07:20</x:v>
      </x:c>
      <x:c r="I408" t="str">
        <x:f>IF(N408&gt;0,"+"&amp;TEXT(INT(N408/60),"00")&amp;":"&amp;TEXT(MOD(N408,60),"00"),"00:00")</x:f>
        <x:v>00:00</x:v>
      </x:c>
      <x:c r="J408" t="str">
        <x:f>IF(O408&gt;0,"-"&amp;TEXT(INT(O408/60),"00")&amp;":"&amp;TEXT(MOD(O408,60),"00"),"00:00")</x:f>
        <x:v>-00:09</x:v>
      </x:c>
      <x:c r="K408" t="n">
        <x:f>ROUND((F408-C408-IF(OR(D408="",E408=""),0,E408-D408))*1440,0)</x:f>
        <x:v>431</x:v>
      </x:c>
      <x:c r="L408" t="n">
        <x:v>440</x:v>
      </x:c>
      <x:c r="M408" t="n">
        <x:f>K408-L408</x:f>
        <x:v>-9</x:v>
      </x:c>
      <x:c r="N408" t="n">
        <x:f>MAX(0,M408)</x:f>
        <x:v>0</x:v>
      </x:c>
      <x:c r="O408" t="n">
        <x:f>MAX(0,-M408)</x:f>
        <x:v>9</x:v>
      </x:c>
      <x:c r="P408" t="str">
        <x:v>Ponto registrado — complemento ilustrativo</x:v>
      </x:c>
      <x:c r="Q408" t="str">
        <x:v>Saída da CONFERÊNCIA DE CAIXA; entrada/intervalo simulados</x:v>
      </x:c>
      <x:c r="R408" t="str">
        <x:v>2026-06</x:v>
      </x:c>
    </x:row>
    <x:row r="409" ht="21" customHeight="1">
      <x:c r="A409" s="83" t="n">
        <x:v>46190</x:v>
      </x:c>
      <x:c r="B409" t="str">
        <x:v>quarta-feira</x:v>
      </x:c>
      <x:c r="C409" s="85" t="n">
        <x:v>0.5409722222222222</x:v>
      </x:c>
      <x:c r="D409" s="85" t="n">
        <x:v>0.6666666666666666</x:v>
      </x:c>
      <x:c r="E409" s="85" t="n">
        <x:v>0.70625</x:v>
      </x:c>
      <x:c r="F409" s="85" t="n">
        <x:v>0.8895833333333333</x:v>
      </x:c>
      <x:c r="G409" t="str">
        <x:f>TEXT(INT(K409/60),"00")&amp;":"&amp;TEXT(MOD(K409,60),"00")</x:f>
        <x:v>07:25</x:v>
      </x:c>
      <x:c r="H409" t="str">
        <x:f>TEXT(INT(L409/60),"00")&amp;":"&amp;TEXT(MOD(L409,60),"00")</x:f>
        <x:v>07:20</x:v>
      </x:c>
      <x:c r="I409" t="str">
        <x:f>IF(N409&gt;0,"+"&amp;TEXT(INT(N409/60),"00")&amp;":"&amp;TEXT(MOD(N409,60),"00"),"00:00")</x:f>
        <x:v>+00:05</x:v>
      </x:c>
      <x:c r="J409" t="str">
        <x:f>IF(O409&gt;0,"-"&amp;TEXT(INT(O409/60),"00")&amp;":"&amp;TEXT(MOD(O409,60),"00"),"00:00")</x:f>
        <x:v>00:00</x:v>
      </x:c>
      <x:c r="K409" t="n">
        <x:f>ROUND((F409-C409-IF(OR(D409="",E409=""),0,E409-D409))*1440,0)</x:f>
        <x:v>445</x:v>
      </x:c>
      <x:c r="L409" t="n">
        <x:v>440</x:v>
      </x:c>
      <x:c r="M409" t="n">
        <x:f>K409-L409</x:f>
        <x:v>5</x:v>
      </x:c>
      <x:c r="N409" t="n">
        <x:f>MAX(0,M409)</x:f>
        <x:v>5</x:v>
      </x:c>
      <x:c r="O409" t="n">
        <x:f>MAX(0,-M409)</x:f>
        <x:v>0</x:v>
      </x:c>
      <x:c r="P409" t="str">
        <x:v>Ponto registrado — complemento ilustrativo</x:v>
      </x:c>
      <x:c r="Q409" t="str">
        <x:v>Saída da CONFERÊNCIA DE CAIXA; entrada/intervalo simulados</x:v>
      </x:c>
      <x:c r="R409" t="str">
        <x:v>2026-06</x:v>
      </x:c>
    </x:row>
    <x:row r="410" ht="21" customHeight="1">
      <x:c r="A410" s="83" t="n">
        <x:v>46191</x:v>
      </x:c>
      <x:c r="B410" t="str">
        <x:v>quinta-feira</x:v>
      </x:c>
      <x:c r="C410" s="85" t="n">
        <x:v>0.54375</x:v>
      </x:c>
      <x:c r="D410" s="85" t="n">
        <x:v>0.6909722222222222</x:v>
      </x:c>
      <x:c r="E410" s="85" t="n">
        <x:v>0.7354166666666667</x:v>
      </x:c>
      <x:c r="F410" s="85" t="n">
        <x:v>0.8888888888888888</x:v>
      </x:c>
      <x:c r="G410" t="str">
        <x:f>TEXT(INT(K410/60),"00")&amp;":"&amp;TEXT(MOD(K410,60),"00")</x:f>
        <x:v>07:13</x:v>
      </x:c>
      <x:c r="H410" t="str">
        <x:f>TEXT(INT(L410/60),"00")&amp;":"&amp;TEXT(MOD(L410,60),"00")</x:f>
        <x:v>07:20</x:v>
      </x:c>
      <x:c r="I410" t="str">
        <x:f>IF(N410&gt;0,"+"&amp;TEXT(INT(N410/60),"00")&amp;":"&amp;TEXT(MOD(N410,60),"00"),"00:00")</x:f>
        <x:v>00:00</x:v>
      </x:c>
      <x:c r="J410" t="str">
        <x:f>IF(O410&gt;0,"-"&amp;TEXT(INT(O410/60),"00")&amp;":"&amp;TEXT(MOD(O410,60),"00"),"00:00")</x:f>
        <x:v>-00:07</x:v>
      </x:c>
      <x:c r="K410" t="n">
        <x:f>ROUND((F410-C410-IF(OR(D410="",E410=""),0,E410-D410))*1440,0)</x:f>
        <x:v>433</x:v>
      </x:c>
      <x:c r="L410" t="n">
        <x:v>440</x:v>
      </x:c>
      <x:c r="M410" t="n">
        <x:f>K410-L410</x:f>
        <x:v>-7</x:v>
      </x:c>
      <x:c r="N410" t="n">
        <x:f>MAX(0,M410)</x:f>
        <x:v>0</x:v>
      </x:c>
      <x:c r="O410" t="n">
        <x:f>MAX(0,-M410)</x:f>
        <x:v>7</x:v>
      </x:c>
      <x:c r="P410" t="str">
        <x:v>Ponto registrado — jornada revisada</x:v>
      </x:c>
      <x:c r="Q410" t="str">
        <x:v>Horários da planilha de jornadas revisada</x:v>
      </x:c>
      <x:c r="R410" t="str">
        <x:v>2026-06</x:v>
      </x:c>
    </x:row>
    <x:row r="411" ht="21" customHeight="1">
      <x:c r="A411" s="83" t="n">
        <x:v>46192</x:v>
      </x:c>
      <x:c r="B411" t="str">
        <x:v>sexta-feira</x:v>
      </x:c>
      <x:c r="C411" s="85" t="n">
        <x:v>0.5416666666666666</x:v>
      </x:c>
      <x:c r="D411" s="85" t="n">
        <x:v>0.6784722222222223</x:v>
      </x:c>
      <x:c r="E411" s="85" t="n">
        <x:v>0.7194444444444444</x:v>
      </x:c>
      <x:c r="F411" s="85" t="n">
        <x:v>0.8902777777777777</x:v>
      </x:c>
      <x:c r="G411" t="str">
        <x:f>TEXT(INT(K411/60),"00")&amp;":"&amp;TEXT(MOD(K411,60),"00")</x:f>
        <x:v>07:23</x:v>
      </x:c>
      <x:c r="H411" t="str">
        <x:f>TEXT(INT(L411/60),"00")&amp;":"&amp;TEXT(MOD(L411,60),"00")</x:f>
        <x:v>07:20</x:v>
      </x:c>
      <x:c r="I411" t="str">
        <x:f>IF(N411&gt;0,"+"&amp;TEXT(INT(N411/60),"00")&amp;":"&amp;TEXT(MOD(N411,60),"00"),"00:00")</x:f>
        <x:v>+00:03</x:v>
      </x:c>
      <x:c r="J411" t="str">
        <x:f>IF(O411&gt;0,"-"&amp;TEXT(INT(O411/60),"00")&amp;":"&amp;TEXT(MOD(O411,60),"00"),"00:00")</x:f>
        <x:v>00:00</x:v>
      </x:c>
      <x:c r="K411" t="n">
        <x:f>ROUND((F411-C411-IF(OR(D411="",E411=""),0,E411-D411))*1440,0)</x:f>
        <x:v>443</x:v>
      </x:c>
      <x:c r="L411" t="n">
        <x:v>440</x:v>
      </x:c>
      <x:c r="M411" t="n">
        <x:f>K411-L411</x:f>
        <x:v>3</x:v>
      </x:c>
      <x:c r="N411" t="n">
        <x:f>MAX(0,M411)</x:f>
        <x:v>3</x:v>
      </x:c>
      <x:c r="O411" t="n">
        <x:f>MAX(0,-M411)</x:f>
        <x:v>0</x:v>
      </x:c>
      <x:c r="P411" t="str">
        <x:v>Ponto registrado — complemento ilustrativo</x:v>
      </x:c>
      <x:c r="Q411" t="str">
        <x:v>Saída da CONFERÊNCIA DE CAIXA; entrada/intervalo simulados</x:v>
      </x:c>
      <x:c r="R411" t="str">
        <x:v>2026-06</x:v>
      </x:c>
    </x:row>
    <x:row r="412" ht="21" customHeight="1">
      <x:c r="A412" s="83" t="n">
        <x:v>46193</x:v>
      </x:c>
      <x:c r="B412" t="str">
        <x:v>sábado</x:v>
      </x:c>
      <x:c r="C412" s="85" t="n">
        <x:v>0.5402777777777777</x:v>
      </x:c>
      <x:c r="D412" s="85" t="n">
        <x:v>0.6597222222222222</x:v>
      </x:c>
      <x:c r="E412" s="85" t="n">
        <x:v>0.6701388888888888</x:v>
      </x:c>
      <x:c r="F412" s="85" t="n">
        <x:v>0.7104166666666667</x:v>
      </x:c>
      <x:c r="G412" t="str">
        <x:f>TEXT(INT(K412/60),"00")&amp;":"&amp;TEXT(MOD(K412,60),"00")</x:f>
        <x:v>03:50</x:v>
      </x:c>
      <x:c r="H412" t="str">
        <x:f>TEXT(INT(L412/60),"00")&amp;":"&amp;TEXT(MOD(L412,60),"00")</x:f>
        <x:v>04:00</x:v>
      </x:c>
      <x:c r="I412" t="str">
        <x:f>IF(N412&gt;0,"+"&amp;TEXT(INT(N412/60),"00")&amp;":"&amp;TEXT(MOD(N412,60),"00"),"00:00")</x:f>
        <x:v>00:00</x:v>
      </x:c>
      <x:c r="J412" t="str">
        <x:f>IF(O412&gt;0,"-"&amp;TEXT(INT(O412/60),"00")&amp;":"&amp;TEXT(MOD(O412,60),"00"),"00:00")</x:f>
        <x:v>-00:10</x:v>
      </x:c>
      <x:c r="K412" t="n">
        <x:f>ROUND((F412-C412-IF(OR(D412="",E412=""),0,E412-D412))*1440,0)</x:f>
        <x:v>230</x:v>
      </x:c>
      <x:c r="L412" t="n">
        <x:v>240</x:v>
      </x:c>
      <x:c r="M412" t="n">
        <x:f>K412-L412</x:f>
        <x:v>-10</x:v>
      </x:c>
      <x:c r="N412" t="n">
        <x:f>MAX(0,M412)</x:f>
        <x:v>0</x:v>
      </x:c>
      <x:c r="O412" t="n">
        <x:f>MAX(0,-M412)</x:f>
        <x:v>10</x:v>
      </x:c>
      <x:c r="P412" t="str">
        <x:v>Ponto registrado — complemento ilustrativo</x:v>
      </x:c>
      <x:c r="Q412" t="str">
        <x:v>Saída da CONFERÊNCIA DE CAIXA; entrada/intervalo simulados</x:v>
      </x:c>
      <x:c r="R412" t="str">
        <x:v>2026-06</x:v>
      </x:c>
    </x:row>
    <x:row r="413" ht="21" customHeight="1">
      <x:c r="A413" s="83" t="n">
        <x:v>46195</x:v>
      </x:c>
      <x:c r="B413" t="str">
        <x:v>segunda-feira</x:v>
      </x:c>
      <x:c r="C413" s="85" t="n">
        <x:v>0.5472222222222223</x:v>
      </x:c>
      <x:c r="D413" s="85" t="n">
        <x:v>0.675</x:v>
      </x:c>
      <x:c r="E413" s="85" t="n">
        <x:v>0.7173611111111111</x:v>
      </x:c>
      <x:c r="F413" s="85" t="n">
        <x:v>0.8875</x:v>
      </x:c>
      <x:c r="G413" t="str">
        <x:f>TEXT(INT(K413/60),"00")&amp;":"&amp;TEXT(MOD(K413,60),"00")</x:f>
        <x:v>07:09</x:v>
      </x:c>
      <x:c r="H413" t="str">
        <x:f>TEXT(INT(L413/60),"00")&amp;":"&amp;TEXT(MOD(L413,60),"00")</x:f>
        <x:v>07:20</x:v>
      </x:c>
      <x:c r="I413" t="str">
        <x:f>IF(N413&gt;0,"+"&amp;TEXT(INT(N413/60),"00")&amp;":"&amp;TEXT(MOD(N413,60),"00"),"00:00")</x:f>
        <x:v>00:00</x:v>
      </x:c>
      <x:c r="J413" t="str">
        <x:f>IF(O413&gt;0,"-"&amp;TEXT(INT(O413/60),"00")&amp;":"&amp;TEXT(MOD(O413,60),"00"),"00:00")</x:f>
        <x:v>-00:11</x:v>
      </x:c>
      <x:c r="K413" t="n">
        <x:f>ROUND((F413-C413-IF(OR(D413="",E413=""),0,E413-D413))*1440,0)</x:f>
        <x:v>429</x:v>
      </x:c>
      <x:c r="L413" t="n">
        <x:v>440</x:v>
      </x:c>
      <x:c r="M413" t="n">
        <x:f>K413-L413</x:f>
        <x:v>-11</x:v>
      </x:c>
      <x:c r="N413" t="n">
        <x:f>MAX(0,M413)</x:f>
        <x:v>0</x:v>
      </x:c>
      <x:c r="O413" t="n">
        <x:f>MAX(0,-M413)</x:f>
        <x:v>11</x:v>
      </x:c>
      <x:c r="P413" t="str">
        <x:v>Ponto registrado — complemento ilustrativo</x:v>
      </x:c>
      <x:c r="Q413" t="str">
        <x:v>Saída da CONFERÊNCIA DE CAIXA; entrada/intervalo simulados</x:v>
      </x:c>
      <x:c r="R413" t="str">
        <x:v>2026-06</x:v>
      </x:c>
    </x:row>
    <x:row r="414" ht="21" customHeight="1">
      <x:c r="A414" s="83" t="n">
        <x:v>46196</x:v>
      </x:c>
      <x:c r="B414" t="str">
        <x:v>terça-feira</x:v>
      </x:c>
      <x:c r="C414" s="85" t="n">
        <x:v>0.5402777777777777</x:v>
      </x:c>
      <x:c r="D414" s="85" t="n">
        <x:v>0.6777777777777778</x:v>
      </x:c>
      <x:c r="E414" s="85" t="n">
        <x:v>0.7222222222222222</x:v>
      </x:c>
      <x:c r="F414" s="85" t="n">
        <x:v>0.8895833333333333</x:v>
      </x:c>
      <x:c r="G414" t="str">
        <x:f>TEXT(INT(K414/60),"00")&amp;":"&amp;TEXT(MOD(K414,60),"00")</x:f>
        <x:v>07:19</x:v>
      </x:c>
      <x:c r="H414" t="str">
        <x:f>TEXT(INT(L414/60),"00")&amp;":"&amp;TEXT(MOD(L414,60),"00")</x:f>
        <x:v>07:20</x:v>
      </x:c>
      <x:c r="I414" t="str">
        <x:f>IF(N414&gt;0,"+"&amp;TEXT(INT(N414/60),"00")&amp;":"&amp;TEXT(MOD(N414,60),"00"),"00:00")</x:f>
        <x:v>00:00</x:v>
      </x:c>
      <x:c r="J414" t="str">
        <x:f>IF(O414&gt;0,"-"&amp;TEXT(INT(O414/60),"00")&amp;":"&amp;TEXT(MOD(O414,60),"00"),"00:00")</x:f>
        <x:v>-00:01</x:v>
      </x:c>
      <x:c r="K414" t="n">
        <x:f>ROUND((F414-C414-IF(OR(D414="",E414=""),0,E414-D414))*1440,0)</x:f>
        <x:v>439</x:v>
      </x:c>
      <x:c r="L414" t="n">
        <x:v>440</x:v>
      </x:c>
      <x:c r="M414" t="n">
        <x:f>K414-L414</x:f>
        <x:v>-1</x:v>
      </x:c>
      <x:c r="N414" t="n">
        <x:f>MAX(0,M414)</x:f>
        <x:v>0</x:v>
      </x:c>
      <x:c r="O414" t="n">
        <x:f>MAX(0,-M414)</x:f>
        <x:v>1</x:v>
      </x:c>
      <x:c r="P414" t="str">
        <x:v>Ponto registrado — complemento ilustrativo</x:v>
      </x:c>
      <x:c r="Q414" t="str">
        <x:v>Saída da CONFERÊNCIA DE CAIXA; entrada/intervalo simulados</x:v>
      </x:c>
      <x:c r="R414" t="str">
        <x:v>2026-06</x:v>
      </x:c>
    </x:row>
    <x:row r="415" ht="21" customHeight="1">
      <x:c r="A415" s="83" t="n">
        <x:v>46197</x:v>
      </x:c>
      <x:c r="B415" t="str">
        <x:v>quarta-feira</x:v>
      </x:c>
      <x:c r="C415" s="85" t="n">
        <x:v>0.5402777777777777</x:v>
      </x:c>
      <x:c r="D415" s="85" t="n">
        <x:v>0.6756944444444445</x:v>
      </x:c>
      <x:c r="E415" s="85" t="n">
        <x:v>0.7145833333333333</x:v>
      </x:c>
      <x:c r="F415" s="85" t="n">
        <x:v>0.8902777777777777</x:v>
      </x:c>
      <x:c r="G415" t="str">
        <x:f>TEXT(INT(K415/60),"00")&amp;":"&amp;TEXT(MOD(K415,60),"00")</x:f>
        <x:v>07:28</x:v>
      </x:c>
      <x:c r="H415" t="str">
        <x:f>TEXT(INT(L415/60),"00")&amp;":"&amp;TEXT(MOD(L415,60),"00")</x:f>
        <x:v>07:20</x:v>
      </x:c>
      <x:c r="I415" t="str">
        <x:f>IF(N415&gt;0,"+"&amp;TEXT(INT(N415/60),"00")&amp;":"&amp;TEXT(MOD(N415,60),"00"),"00:00")</x:f>
        <x:v>+00:08</x:v>
      </x:c>
      <x:c r="J415" t="str">
        <x:f>IF(O415&gt;0,"-"&amp;TEXT(INT(O415/60),"00")&amp;":"&amp;TEXT(MOD(O415,60),"00"),"00:00")</x:f>
        <x:v>00:00</x:v>
      </x:c>
      <x:c r="K415" t="n">
        <x:f>ROUND((F415-C415-IF(OR(D415="",E415=""),0,E415-D415))*1440,0)</x:f>
        <x:v>448</x:v>
      </x:c>
      <x:c r="L415" t="n">
        <x:v>440</x:v>
      </x:c>
      <x:c r="M415" t="n">
        <x:f>K415-L415</x:f>
        <x:v>8</x:v>
      </x:c>
      <x:c r="N415" t="n">
        <x:f>MAX(0,M415)</x:f>
        <x:v>8</x:v>
      </x:c>
      <x:c r="O415" t="n">
        <x:f>MAX(0,-M415)</x:f>
        <x:v>0</x:v>
      </x:c>
      <x:c r="P415" t="str">
        <x:v>Ponto registrado — complemento ilustrativo</x:v>
      </x:c>
      <x:c r="Q415" t="str">
        <x:v>Saída da CONFERÊNCIA DE CAIXA; entrada/intervalo simulados</x:v>
      </x:c>
      <x:c r="R415" t="str">
        <x:v>2026-06</x:v>
      </x:c>
    </x:row>
    <x:row r="416" ht="21" customHeight="1">
      <x:c r="A416" s="83" t="n">
        <x:v>46198</x:v>
      </x:c>
      <x:c r="B416" t="str">
        <x:v>quinta-feira</x:v>
      </x:c>
      <x:c r="C416" s="85" t="n">
        <x:v>0.5465277777777777</x:v>
      </x:c>
      <x:c r="D416" s="85" t="n">
        <x:v>0.6770833333333334</x:v>
      </x:c>
      <x:c r="E416" s="85" t="n">
        <x:v>0.7173611111111111</x:v>
      </x:c>
      <x:c r="F416" s="85" t="n">
        <x:v>0.8909722222222223</x:v>
      </x:c>
      <x:c r="G416" t="str">
        <x:f>TEXT(INT(K416/60),"00")&amp;":"&amp;TEXT(MOD(K416,60),"00")</x:f>
        <x:v>07:18</x:v>
      </x:c>
      <x:c r="H416" t="str">
        <x:f>TEXT(INT(L416/60),"00")&amp;":"&amp;TEXT(MOD(L416,60),"00")</x:f>
        <x:v>07:20</x:v>
      </x:c>
      <x:c r="I416" t="str">
        <x:f>IF(N416&gt;0,"+"&amp;TEXT(INT(N416/60),"00")&amp;":"&amp;TEXT(MOD(N416,60),"00"),"00:00")</x:f>
        <x:v>00:00</x:v>
      </x:c>
      <x:c r="J416" t="str">
        <x:f>IF(O416&gt;0,"-"&amp;TEXT(INT(O416/60),"00")&amp;":"&amp;TEXT(MOD(O416,60),"00"),"00:00")</x:f>
        <x:v>-00:02</x:v>
      </x:c>
      <x:c r="K416" t="n">
        <x:f>ROUND((F416-C416-IF(OR(D416="",E416=""),0,E416-D416))*1440,0)</x:f>
        <x:v>438</x:v>
      </x:c>
      <x:c r="L416" t="n">
        <x:v>440</x:v>
      </x:c>
      <x:c r="M416" t="n">
        <x:f>K416-L416</x:f>
        <x:v>-2</x:v>
      </x:c>
      <x:c r="N416" t="n">
        <x:f>MAX(0,M416)</x:f>
        <x:v>0</x:v>
      </x:c>
      <x:c r="O416" t="n">
        <x:f>MAX(0,-M416)</x:f>
        <x:v>2</x:v>
      </x:c>
      <x:c r="P416" t="str">
        <x:v>Ponto registrado — complemento ilustrativo</x:v>
      </x:c>
      <x:c r="Q416" t="str">
        <x:v>Saída da CONFERÊNCIA DE CAIXA; entrada/intervalo simulados</x:v>
      </x:c>
      <x:c r="R416" t="str">
        <x:v>2026-06</x:v>
      </x:c>
    </x:row>
    <x:row r="417" ht="21" customHeight="1">
      <x:c r="A417" s="83" t="n">
        <x:v>46199</x:v>
      </x:c>
      <x:c r="B417" t="str">
        <x:v>sexta-feira</x:v>
      </x:c>
      <x:c r="C417" s="85" t="n">
        <x:v>0.5375</x:v>
      </x:c>
      <x:c r="D417" s="85" t="n">
        <x:v>0.6708333333333333</x:v>
      </x:c>
      <x:c r="E417" s="85" t="n">
        <x:v>0.7131944444444445</x:v>
      </x:c>
      <x:c r="F417" s="85" t="n">
        <x:v>0.8895833333333333</x:v>
      </x:c>
      <x:c r="G417" t="str">
        <x:f>TEXT(INT(K417/60),"00")&amp;":"&amp;TEXT(MOD(K417,60),"00")</x:f>
        <x:v>07:26</x:v>
      </x:c>
      <x:c r="H417" t="str">
        <x:f>TEXT(INT(L417/60),"00")&amp;":"&amp;TEXT(MOD(L417,60),"00")</x:f>
        <x:v>07:20</x:v>
      </x:c>
      <x:c r="I417" t="str">
        <x:f>IF(N417&gt;0,"+"&amp;TEXT(INT(N417/60),"00")&amp;":"&amp;TEXT(MOD(N417,60),"00"),"00:00")</x:f>
        <x:v>+00:06</x:v>
      </x:c>
      <x:c r="J417" t="str">
        <x:f>IF(O417&gt;0,"-"&amp;TEXT(INT(O417/60),"00")&amp;":"&amp;TEXT(MOD(O417,60),"00"),"00:00")</x:f>
        <x:v>00:00</x:v>
      </x:c>
      <x:c r="K417" t="n">
        <x:f>ROUND((F417-C417-IF(OR(D417="",E417=""),0,E417-D417))*1440,0)</x:f>
        <x:v>446</x:v>
      </x:c>
      <x:c r="L417" t="n">
        <x:v>440</x:v>
      </x:c>
      <x:c r="M417" t="n">
        <x:f>K417-L417</x:f>
        <x:v>6</x:v>
      </x:c>
      <x:c r="N417" t="n">
        <x:f>MAX(0,M417)</x:f>
        <x:v>6</x:v>
      </x:c>
      <x:c r="O417" t="n">
        <x:f>MAX(0,-M417)</x:f>
        <x:v>0</x:v>
      </x:c>
      <x:c r="P417" t="str">
        <x:v>Ponto registrado — complemento ilustrativo</x:v>
      </x:c>
      <x:c r="Q417" t="str">
        <x:v>Saída da CONFERÊNCIA DE CAIXA; entrada/intervalo simulados</x:v>
      </x:c>
      <x:c r="R417" t="str">
        <x:v>2026-06</x:v>
      </x:c>
    </x:row>
    <x:row r="418" ht="21" customHeight="1">
      <x:c r="A418" s="83" t="n">
        <x:v>46200</x:v>
      </x:c>
      <x:c r="B418" t="str">
        <x:v>sábado</x:v>
      </x:c>
      <x:c r="C418" s="85" t="n">
        <x:v>0.5416666666666666</x:v>
      </x:c>
      <x:c r="D418" s="85" t="n">
        <x:v>0.6666666666666666</x:v>
      </x:c>
      <x:c r="E418" s="85" t="n">
        <x:v>0.6770833333333334</x:v>
      </x:c>
      <x:c r="F418" s="85" t="n">
        <x:v>0.7097222222222223</x:v>
      </x:c>
      <x:c r="G418" t="str">
        <x:f>TEXT(INT(K418/60),"00")&amp;":"&amp;TEXT(MOD(K418,60),"00")</x:f>
        <x:v>03:47</x:v>
      </x:c>
      <x:c r="H418" t="str">
        <x:f>TEXT(INT(L418/60),"00")&amp;":"&amp;TEXT(MOD(L418,60),"00")</x:f>
        <x:v>04:00</x:v>
      </x:c>
      <x:c r="I418" t="str">
        <x:f>IF(N418&gt;0,"+"&amp;TEXT(INT(N418/60),"00")&amp;":"&amp;TEXT(MOD(N418,60),"00"),"00:00")</x:f>
        <x:v>00:00</x:v>
      </x:c>
      <x:c r="J418" t="str">
        <x:f>IF(O418&gt;0,"-"&amp;TEXT(INT(O418/60),"00")&amp;":"&amp;TEXT(MOD(O418,60),"00"),"00:00")</x:f>
        <x:v>-00:13</x:v>
      </x:c>
      <x:c r="K418" t="n">
        <x:f>ROUND((F418-C418-IF(OR(D418="",E418=""),0,E418-D418))*1440,0)</x:f>
        <x:v>227</x:v>
      </x:c>
      <x:c r="L418" t="n">
        <x:v>240</x:v>
      </x:c>
      <x:c r="M418" t="n">
        <x:f>K418-L418</x:f>
        <x:v>-13</x:v>
      </x:c>
      <x:c r="N418" t="n">
        <x:f>MAX(0,M418)</x:f>
        <x:v>0</x:v>
      </x:c>
      <x:c r="O418" t="n">
        <x:f>MAX(0,-M418)</x:f>
        <x:v>13</x:v>
      </x:c>
      <x:c r="P418" t="str">
        <x:v>Ponto registrado — complemento ilustrativo</x:v>
      </x:c>
      <x:c r="Q418" t="str">
        <x:v>Saída da CONFERÊNCIA DE CAIXA; entrada/intervalo simulados</x:v>
      </x:c>
      <x:c r="R418" t="str">
        <x:v>2026-06</x:v>
      </x:c>
    </x:row>
    <x:row r="419" ht="21" customHeight="1">
      <x:c r="A419" s="83" t="n">
        <x:v>46202</x:v>
      </x:c>
      <x:c r="B419" t="str">
        <x:v>segunda-feira</x:v>
      </x:c>
      <x:c r="C419" s="85" t="n">
        <x:v>0.5388888888888889</x:v>
      </x:c>
      <x:c r="D419" s="85" t="n">
        <x:v>0.6729166666666667</x:v>
      </x:c>
      <x:c r="E419" s="85" t="n">
        <x:v>0.7166666666666667</x:v>
      </x:c>
      <x:c r="F419" s="85" t="n">
        <x:v>0.8909722222222223</x:v>
      </x:c>
      <x:c r="G419" t="str">
        <x:f>TEXT(INT(K419/60),"00")&amp;":"&amp;TEXT(MOD(K419,60),"00")</x:f>
        <x:v>07:24</x:v>
      </x:c>
      <x:c r="H419" t="str">
        <x:f>TEXT(INT(L419/60),"00")&amp;":"&amp;TEXT(MOD(L419,60),"00")</x:f>
        <x:v>07:20</x:v>
      </x:c>
      <x:c r="I419" t="str">
        <x:f>IF(N419&gt;0,"+"&amp;TEXT(INT(N419/60),"00")&amp;":"&amp;TEXT(MOD(N419,60),"00"),"00:00")</x:f>
        <x:v>+00:04</x:v>
      </x:c>
      <x:c r="J419" t="str">
        <x:f>IF(O419&gt;0,"-"&amp;TEXT(INT(O419/60),"00")&amp;":"&amp;TEXT(MOD(O419,60),"00"),"00:00")</x:f>
        <x:v>00:00</x:v>
      </x:c>
      <x:c r="K419" t="n">
        <x:f>ROUND((F419-C419-IF(OR(D419="",E419=""),0,E419-D419))*1440,0)</x:f>
        <x:v>444</x:v>
      </x:c>
      <x:c r="L419" t="n">
        <x:v>440</x:v>
      </x:c>
      <x:c r="M419" t="n">
        <x:f>K419-L419</x:f>
        <x:v>4</x:v>
      </x:c>
      <x:c r="N419" t="n">
        <x:f>MAX(0,M419)</x:f>
        <x:v>4</x:v>
      </x:c>
      <x:c r="O419" t="n">
        <x:f>MAX(0,-M419)</x:f>
        <x:v>0</x:v>
      </x:c>
      <x:c r="P419" t="str">
        <x:v>Ponto registrado — complemento ilustrativo</x:v>
      </x:c>
      <x:c r="Q419" t="str">
        <x:v>Saída da CONFERÊNCIA DE CAIXA; entrada/intervalo simulados</x:v>
      </x:c>
      <x:c r="R419" t="str">
        <x:v>2026-06</x:v>
      </x:c>
    </x:row>
    <x:row r="420" ht="21" customHeight="1">
      <x:c r="A420" s="83" t="n">
        <x:v>46203</x:v>
      </x:c>
      <x:c r="B420" t="str">
        <x:v>terça-feira</x:v>
      </x:c>
      <x:c r="C420" s="85" t="n">
        <x:v>0.5472222222222223</x:v>
      </x:c>
      <x:c r="D420" s="85" t="n">
        <x:v>0.6777777777777778</x:v>
      </x:c>
      <x:c r="E420" s="85" t="n">
        <x:v>0.71875</x:v>
      </x:c>
      <x:c r="F420" s="85" t="n">
        <x:v>0.8881944444444444</x:v>
      </x:c>
      <x:c r="G420" t="str">
        <x:f>TEXT(INT(K420/60),"00")&amp;":"&amp;TEXT(MOD(K420,60),"00")</x:f>
        <x:v>07:12</x:v>
      </x:c>
      <x:c r="H420" t="str">
        <x:f>TEXT(INT(L420/60),"00")&amp;":"&amp;TEXT(MOD(L420,60),"00")</x:f>
        <x:v>07:20</x:v>
      </x:c>
      <x:c r="I420" t="str">
        <x:f>IF(N420&gt;0,"+"&amp;TEXT(INT(N420/60),"00")&amp;":"&amp;TEXT(MOD(N420,60),"00"),"00:00")</x:f>
        <x:v>00:00</x:v>
      </x:c>
      <x:c r="J420" t="str">
        <x:f>IF(O420&gt;0,"-"&amp;TEXT(INT(O420/60),"00")&amp;":"&amp;TEXT(MOD(O420,60),"00"),"00:00")</x:f>
        <x:v>-00:08</x:v>
      </x:c>
      <x:c r="K420" t="n">
        <x:f>ROUND((F420-C420-IF(OR(D420="",E420=""),0,E420-D420))*1440,0)</x:f>
        <x:v>432</x:v>
      </x:c>
      <x:c r="L420" t="n">
        <x:v>440</x:v>
      </x:c>
      <x:c r="M420" t="n">
        <x:f>K420-L420</x:f>
        <x:v>-8</x:v>
      </x:c>
      <x:c r="N420" t="n">
        <x:f>MAX(0,M420)</x:f>
        <x:v>0</x:v>
      </x:c>
      <x:c r="O420" t="n">
        <x:f>MAX(0,-M420)</x:f>
        <x:v>8</x:v>
      </x:c>
      <x:c r="P420" t="str">
        <x:v>Ponto registrado — complemento ilustrativo</x:v>
      </x:c>
      <x:c r="Q420" t="str">
        <x:v>Saída da CONFERÊNCIA DE CAIXA; entrada/intervalo simulados</x:v>
      </x:c>
      <x:c r="R420" t="str">
        <x:v>2026-06</x:v>
      </x:c>
    </x:row>
    <x:row r="421" ht="21" customHeight="1">
      <x:c r="A421" s="83" t="n">
        <x:v>46204</x:v>
      </x:c>
      <x:c r="B421" t="str">
        <x:v>quarta-feira</x:v>
      </x:c>
      <x:c r="C421" s="85" t="n">
        <x:v>0.5465277777777777</x:v>
      </x:c>
      <x:c r="D421" s="85" t="n">
        <x:v>0.6673611111111111</x:v>
      </x:c>
      <x:c r="E421" s="85" t="n">
        <x:v>0.7083333333333334</x:v>
      </x:c>
      <x:c r="F421" s="85" t="n">
        <x:v>0.8888888888888888</x:v>
      </x:c>
      <x:c r="G421" t="str">
        <x:f>TEXT(INT(K421/60),"00")&amp;":"&amp;TEXT(MOD(K421,60),"00")</x:f>
        <x:v>07:14</x:v>
      </x:c>
      <x:c r="H421" t="str">
        <x:f>TEXT(INT(L421/60),"00")&amp;":"&amp;TEXT(MOD(L421,60),"00")</x:f>
        <x:v>07:20</x:v>
      </x:c>
      <x:c r="I421" t="str">
        <x:f>IF(N421&gt;0,"+"&amp;TEXT(INT(N421/60),"00")&amp;":"&amp;TEXT(MOD(N421,60),"00"),"00:00")</x:f>
        <x:v>00:00</x:v>
      </x:c>
      <x:c r="J421" t="str">
        <x:f>IF(O421&gt;0,"-"&amp;TEXT(INT(O421/60),"00")&amp;":"&amp;TEXT(MOD(O421,60),"00"),"00:00")</x:f>
        <x:v>-00:06</x:v>
      </x:c>
      <x:c r="K421" t="n">
        <x:f>ROUND((F421-C421-IF(OR(D421="",E421=""),0,E421-D421))*1440,0)</x:f>
        <x:v>434</x:v>
      </x:c>
      <x:c r="L421" t="n">
        <x:v>440</x:v>
      </x:c>
      <x:c r="M421" t="n">
        <x:f>K421-L421</x:f>
        <x:v>-6</x:v>
      </x:c>
      <x:c r="N421" t="n">
        <x:f>MAX(0,M421)</x:f>
        <x:v>0</x:v>
      </x:c>
      <x:c r="O421" t="n">
        <x:f>MAX(0,-M421)</x:f>
        <x:v>6</x:v>
      </x:c>
      <x:c r="P421" t="str">
        <x:v>Ponto registrado — complemento ilustrativo</x:v>
      </x:c>
      <x:c r="Q421" t="str">
        <x:v>Saída da CONFERÊNCIA DE CAIXA; entrada/intervalo simulados</x:v>
      </x:c>
      <x:c r="R421" t="str">
        <x:v>2026-07</x:v>
      </x:c>
    </x:row>
    <x:row r="422" ht="21" customHeight="1">
      <x:c r="A422" s="83" t="n">
        <x:v>46205</x:v>
      </x:c>
      <x:c r="B422" t="str">
        <x:v>quinta-feira</x:v>
      </x:c>
      <x:c r="C422" s="85" t="n">
        <x:v>0.5395833333333333</x:v>
      </x:c>
      <x:c r="D422" s="85" t="n">
        <x:v>0.6777777777777778</x:v>
      </x:c>
      <x:c r="E422" s="85" t="n">
        <x:v>0.7166666666666667</x:v>
      </x:c>
      <x:c r="F422" s="85" t="n">
        <x:v>0.8881944444444444</x:v>
      </x:c>
      <x:c r="G422" t="str">
        <x:f>TEXT(INT(K422/60),"00")&amp;":"&amp;TEXT(MOD(K422,60),"00")</x:f>
        <x:v>07:26</x:v>
      </x:c>
      <x:c r="H422" t="str">
        <x:f>TEXT(INT(L422/60),"00")&amp;":"&amp;TEXT(MOD(L422,60),"00")</x:f>
        <x:v>07:20</x:v>
      </x:c>
      <x:c r="I422" t="str">
        <x:f>IF(N422&gt;0,"+"&amp;TEXT(INT(N422/60),"00")&amp;":"&amp;TEXT(MOD(N422,60),"00"),"00:00")</x:f>
        <x:v>+00:06</x:v>
      </x:c>
      <x:c r="J422" t="str">
        <x:f>IF(O422&gt;0,"-"&amp;TEXT(INT(O422/60),"00")&amp;":"&amp;TEXT(MOD(O422,60),"00"),"00:00")</x:f>
        <x:v>00:00</x:v>
      </x:c>
      <x:c r="K422" t="n">
        <x:f>ROUND((F422-C422-IF(OR(D422="",E422=""),0,E422-D422))*1440,0)</x:f>
        <x:v>446</x:v>
      </x:c>
      <x:c r="L422" t="n">
        <x:v>440</x:v>
      </x:c>
      <x:c r="M422" t="n">
        <x:f>K422-L422</x:f>
        <x:v>6</x:v>
      </x:c>
      <x:c r="N422" t="n">
        <x:f>MAX(0,M422)</x:f>
        <x:v>6</x:v>
      </x:c>
      <x:c r="O422" t="n">
        <x:f>MAX(0,-M422)</x:f>
        <x:v>0</x:v>
      </x:c>
      <x:c r="P422" t="str">
        <x:v>Ponto registrado — complemento ilustrativo</x:v>
      </x:c>
      <x:c r="Q422" t="str">
        <x:v>Saída da CONFERÊNCIA DE CAIXA; entrada/intervalo simulados</x:v>
      </x:c>
      <x:c r="R422" t="str">
        <x:v>2026-07</x:v>
      </x:c>
    </x:row>
    <x:row r="423" ht="21" customHeight="1">
      <x:c r="A423" s="83" t="n">
        <x:v>46206</x:v>
      </x:c>
      <x:c r="B423" t="str">
        <x:v>sexta-feira</x:v>
      </x:c>
      <x:c r="C423" s="85" t="n">
        <x:v>0.5458333333333333</x:v>
      </x:c>
      <x:c r="D423" s="85" t="n">
        <x:v>0.6798611111111111</x:v>
      </x:c>
      <x:c r="E423" s="85" t="n">
        <x:v>0.7229166666666667</x:v>
      </x:c>
      <x:c r="F423" s="85" t="n">
        <x:v>0.8861111111111111</x:v>
      </x:c>
      <x:c r="G423" t="str">
        <x:f>TEXT(INT(K423/60),"00")&amp;":"&amp;TEXT(MOD(K423,60),"00")</x:f>
        <x:v>07:08</x:v>
      </x:c>
      <x:c r="H423" t="str">
        <x:f>TEXT(INT(L423/60),"00")&amp;":"&amp;TEXT(MOD(L423,60),"00")</x:f>
        <x:v>07:20</x:v>
      </x:c>
      <x:c r="I423" t="str">
        <x:f>IF(N423&gt;0,"+"&amp;TEXT(INT(N423/60),"00")&amp;":"&amp;TEXT(MOD(N423,60),"00"),"00:00")</x:f>
        <x:v>00:00</x:v>
      </x:c>
      <x:c r="J423" t="str">
        <x:f>IF(O423&gt;0,"-"&amp;TEXT(INT(O423/60),"00")&amp;":"&amp;TEXT(MOD(O423,60),"00"),"00:00")</x:f>
        <x:v>-00:12</x:v>
      </x:c>
      <x:c r="K423" t="n">
        <x:f>ROUND((F423-C423-IF(OR(D423="",E423=""),0,E423-D423))*1440,0)</x:f>
        <x:v>428</x:v>
      </x:c>
      <x:c r="L423" t="n">
        <x:v>440</x:v>
      </x:c>
      <x:c r="M423" t="n">
        <x:f>K423-L423</x:f>
        <x:v>-12</x:v>
      </x:c>
      <x:c r="N423" t="n">
        <x:f>MAX(0,M423)</x:f>
        <x:v>0</x:v>
      </x:c>
      <x:c r="O423" t="n">
        <x:f>MAX(0,-M423)</x:f>
        <x:v>12</x:v>
      </x:c>
      <x:c r="P423" t="str">
        <x:v>Ponto registrado — complemento ilustrativo</x:v>
      </x:c>
      <x:c r="Q423" t="str">
        <x:v>Saída da CONFERÊNCIA DE CAIXA; entrada/intervalo simulados</x:v>
      </x:c>
      <x:c r="R423" t="str">
        <x:v>2026-07</x:v>
      </x:c>
    </x:row>
    <x:row r="424" ht="21" customHeight="1">
      <x:c r="A424" s="83" t="n">
        <x:v>46207</x:v>
      </x:c>
      <x:c r="B424" t="str">
        <x:v>sábado</x:v>
      </x:c>
      <x:c r="C424" s="85" t="n">
        <x:v>0.5381944444444444</x:v>
      </x:c>
      <x:c r="D424" s="85" t="n">
        <x:v>0.6701388888888888</x:v>
      </x:c>
      <x:c r="E424" s="85" t="n">
        <x:v>0.6805555555555556</x:v>
      </x:c>
      <x:c r="F424" s="85" t="n">
        <x:v>0.7104166666666667</x:v>
      </x:c>
      <x:c r="G424" t="str">
        <x:f>TEXT(INT(K424/60),"00")&amp;":"&amp;TEXT(MOD(K424,60),"00")</x:f>
        <x:v>03:53</x:v>
      </x:c>
      <x:c r="H424" t="str">
        <x:f>TEXT(INT(L424/60),"00")&amp;":"&amp;TEXT(MOD(L424,60),"00")</x:f>
        <x:v>04:00</x:v>
      </x:c>
      <x:c r="I424" t="str">
        <x:f>IF(N424&gt;0,"+"&amp;TEXT(INT(N424/60),"00")&amp;":"&amp;TEXT(MOD(N424,60),"00"),"00:00")</x:f>
        <x:v>00:00</x:v>
      </x:c>
      <x:c r="J424" t="str">
        <x:f>IF(O424&gt;0,"-"&amp;TEXT(INT(O424/60),"00")&amp;":"&amp;TEXT(MOD(O424,60),"00"),"00:00")</x:f>
        <x:v>-00:07</x:v>
      </x:c>
      <x:c r="K424" t="n">
        <x:f>ROUND((F424-C424-IF(OR(D424="",E424=""),0,E424-D424))*1440,0)</x:f>
        <x:v>233</x:v>
      </x:c>
      <x:c r="L424" t="n">
        <x:v>240</x:v>
      </x:c>
      <x:c r="M424" t="n">
        <x:f>K424-L424</x:f>
        <x:v>-7</x:v>
      </x:c>
      <x:c r="N424" t="n">
        <x:f>MAX(0,M424)</x:f>
        <x:v>0</x:v>
      </x:c>
      <x:c r="O424" t="n">
        <x:f>MAX(0,-M424)</x:f>
        <x:v>7</x:v>
      </x:c>
      <x:c r="P424" t="str">
        <x:v>Ponto registrado — complemento ilustrativo</x:v>
      </x:c>
      <x:c r="Q424" t="str">
        <x:v>Saída da CONFERÊNCIA DE CAIXA; entrada/intervalo simulados</x:v>
      </x:c>
      <x:c r="R424" t="str">
        <x:v>2026-07</x:v>
      </x:c>
    </x:row>
    <x:row r="425" ht="21" customHeight="1">
      <x:c r="A425" s="83" t="n">
        <x:v>46209</x:v>
      </x:c>
      <x:c r="B425" t="str">
        <x:v>segunda-feira</x:v>
      </x:c>
      <x:c r="C425" s="85" t="n">
        <x:v>0.5430555555555555</x:v>
      </x:c>
      <x:c r="D425" s="85" t="n">
        <x:v>0.66875</x:v>
      </x:c>
      <x:c r="E425" s="85" t="n">
        <x:v>0.7083333333333334</x:v>
      </x:c>
      <x:c r="F425" s="85" t="n">
        <x:v>0.8875</x:v>
      </x:c>
      <x:c r="G425" t="str">
        <x:f>TEXT(INT(K425/60),"00")&amp;":"&amp;TEXT(MOD(K425,60),"00")</x:f>
        <x:v>07:19</x:v>
      </x:c>
      <x:c r="H425" t="str">
        <x:f>TEXT(INT(L425/60),"00")&amp;":"&amp;TEXT(MOD(L425,60),"00")</x:f>
        <x:v>07:20</x:v>
      </x:c>
      <x:c r="I425" t="str">
        <x:f>IF(N425&gt;0,"+"&amp;TEXT(INT(N425/60),"00")&amp;":"&amp;TEXT(MOD(N425,60),"00"),"00:00")</x:f>
        <x:v>00:00</x:v>
      </x:c>
      <x:c r="J425" t="str">
        <x:f>IF(O425&gt;0,"-"&amp;TEXT(INT(O425/60),"00")&amp;":"&amp;TEXT(MOD(O425,60),"00"),"00:00")</x:f>
        <x:v>-00:01</x:v>
      </x:c>
      <x:c r="K425" t="n">
        <x:f>ROUND((F425-C425-IF(OR(D425="",E425=""),0,E425-D425))*1440,0)</x:f>
        <x:v>439</x:v>
      </x:c>
      <x:c r="L425" t="n">
        <x:v>440</x:v>
      </x:c>
      <x:c r="M425" t="n">
        <x:f>K425-L425</x:f>
        <x:v>-1</x:v>
      </x:c>
      <x:c r="N425" t="n">
        <x:f>MAX(0,M425)</x:f>
        <x:v>0</x:v>
      </x:c>
      <x:c r="O425" t="n">
        <x:f>MAX(0,-M425)</x:f>
        <x:v>1</x:v>
      </x:c>
      <x:c r="P425" t="str">
        <x:v>Ponto registrado — complemento ilustrativo</x:v>
      </x:c>
      <x:c r="Q425" t="str">
        <x:v>Saída da CONFERÊNCIA DE CAIXA; entrada/intervalo simulados</x:v>
      </x:c>
      <x:c r="R425" t="str">
        <x:v>2026-07</x:v>
      </x:c>
    </x:row>
    <x:row r="426" ht="21" customHeight="1">
      <x:c r="A426" s="83" t="n">
        <x:v>46210</x:v>
      </x:c>
      <x:c r="B426" t="str">
        <x:v>terça-feira</x:v>
      </x:c>
      <x:c r="C426" s="85" t="n">
        <x:v>0.5444444444444444</x:v>
      </x:c>
      <x:c r="D426" s="85" t="n">
        <x:v>0.6673611111111111</x:v>
      </x:c>
      <x:c r="E426" s="85" t="n">
        <x:v>0.7097222222222223</x:v>
      </x:c>
      <x:c r="F426" s="85" t="n">
        <x:v>0.8902777777777777</x:v>
      </x:c>
      <x:c r="G426" t="str">
        <x:f>TEXT(INT(K426/60),"00")&amp;":"&amp;TEXT(MOD(K426,60),"00")</x:f>
        <x:v>07:17</x:v>
      </x:c>
      <x:c r="H426" t="str">
        <x:f>TEXT(INT(L426/60),"00")&amp;":"&amp;TEXT(MOD(L426,60),"00")</x:f>
        <x:v>07:20</x:v>
      </x:c>
      <x:c r="I426" t="str">
        <x:f>IF(N426&gt;0,"+"&amp;TEXT(INT(N426/60),"00")&amp;":"&amp;TEXT(MOD(N426,60),"00"),"00:00")</x:f>
        <x:v>00:00</x:v>
      </x:c>
      <x:c r="J426" t="str">
        <x:f>IF(O426&gt;0,"-"&amp;TEXT(INT(O426/60),"00")&amp;":"&amp;TEXT(MOD(O426,60),"00"),"00:00")</x:f>
        <x:v>-00:03</x:v>
      </x:c>
      <x:c r="K426" t="n">
        <x:f>ROUND((F426-C426-IF(OR(D426="",E426=""),0,E426-D426))*1440,0)</x:f>
        <x:v>437</x:v>
      </x:c>
      <x:c r="L426" t="n">
        <x:v>440</x:v>
      </x:c>
      <x:c r="M426" t="n">
        <x:f>K426-L426</x:f>
        <x:v>-3</x:v>
      </x:c>
      <x:c r="N426" t="n">
        <x:f>MAX(0,M426)</x:f>
        <x:v>0</x:v>
      </x:c>
      <x:c r="O426" t="n">
        <x:f>MAX(0,-M426)</x:f>
        <x:v>3</x:v>
      </x:c>
      <x:c r="P426" t="str">
        <x:v>Ponto registrado — complemento ilustrativo</x:v>
      </x:c>
      <x:c r="Q426" t="str">
        <x:v>Saída da CONFERÊNCIA DE CAIXA; entrada/intervalo simulados</x:v>
      </x:c>
      <x:c r="R426" t="str">
        <x:v>2026-07</x:v>
      </x:c>
    </x:row>
    <x:row r="427" ht="21" customHeight="1">
      <x:c r="A427" s="83" t="n">
        <x:v>46211</x:v>
      </x:c>
      <x:c r="B427" t="str">
        <x:v>quarta-feira</x:v>
      </x:c>
      <x:c r="C427" s="85" t="n">
        <x:v>0.5381944444444444</x:v>
      </x:c>
      <x:c r="D427" s="85" t="n">
        <x:v>0.6770833333333334</x:v>
      </x:c>
      <x:c r="E427" s="85" t="n">
        <x:v>0.7208333333333333</x:v>
      </x:c>
      <x:c r="F427" s="85" t="n">
        <x:v>0.8909722222222223</x:v>
      </x:c>
      <x:c r="G427" t="str">
        <x:f>TEXT(INT(K427/60),"00")&amp;":"&amp;TEXT(MOD(K427,60),"00")</x:f>
        <x:v>07:25</x:v>
      </x:c>
      <x:c r="H427" t="str">
        <x:f>TEXT(INT(L427/60),"00")&amp;":"&amp;TEXT(MOD(L427,60),"00")</x:f>
        <x:v>07:20</x:v>
      </x:c>
      <x:c r="I427" t="str">
        <x:f>IF(N427&gt;0,"+"&amp;TEXT(INT(N427/60),"00")&amp;":"&amp;TEXT(MOD(N427,60),"00"),"00:00")</x:f>
        <x:v>+00:05</x:v>
      </x:c>
      <x:c r="J427" t="str">
        <x:f>IF(O427&gt;0,"-"&amp;TEXT(INT(O427/60),"00")&amp;":"&amp;TEXT(MOD(O427,60),"00"),"00:00")</x:f>
        <x:v>00:00</x:v>
      </x:c>
      <x:c r="K427" t="n">
        <x:f>ROUND((F427-C427-IF(OR(D427="",E427=""),0,E427-D427))*1440,0)</x:f>
        <x:v>445</x:v>
      </x:c>
      <x:c r="L427" t="n">
        <x:v>440</x:v>
      </x:c>
      <x:c r="M427" t="n">
        <x:f>K427-L427</x:f>
        <x:v>5</x:v>
      </x:c>
      <x:c r="N427" t="n">
        <x:f>MAX(0,M427)</x:f>
        <x:v>5</x:v>
      </x:c>
      <x:c r="O427" t="n">
        <x:f>MAX(0,-M427)</x:f>
        <x:v>0</x:v>
      </x:c>
      <x:c r="P427" t="str">
        <x:v>Ponto registrado — complemento ilustrativo</x:v>
      </x:c>
      <x:c r="Q427" t="str">
        <x:v>Saída da CONFERÊNCIA DE CAIXA; entrada/intervalo simulados</x:v>
      </x:c>
      <x:c r="R427" t="str">
        <x:v>2026-07</x:v>
      </x:c>
    </x:row>
    <x:row r="428" ht="21" customHeight="1">
      <x:c r="A428" s="83" t="n">
        <x:v>46212</x:v>
      </x:c>
      <x:c r="B428" t="str">
        <x:v>quinta-feira</x:v>
      </x:c>
      <x:c r="C428" s="85" t="n">
        <x:v>0.5458333333333333</x:v>
      </x:c>
      <x:c r="D428" s="85" t="n">
        <x:v>0.6659722222222222</x:v>
      </x:c>
      <x:c r="E428" s="85" t="n">
        <x:v>0.7055555555555556</x:v>
      </x:c>
      <x:c r="F428" s="85" t="n">
        <x:v>0.8895833333333333</x:v>
      </x:c>
      <x:c r="G428" t="str">
        <x:f>TEXT(INT(K428/60),"00")&amp;":"&amp;TEXT(MOD(K428,60),"00")</x:f>
        <x:v>07:18</x:v>
      </x:c>
      <x:c r="H428" t="str">
        <x:f>TEXT(INT(L428/60),"00")&amp;":"&amp;TEXT(MOD(L428,60),"00")</x:f>
        <x:v>07:20</x:v>
      </x:c>
      <x:c r="I428" t="str">
        <x:f>IF(N428&gt;0,"+"&amp;TEXT(INT(N428/60),"00")&amp;":"&amp;TEXT(MOD(N428,60),"00"),"00:00")</x:f>
        <x:v>00:00</x:v>
      </x:c>
      <x:c r="J428" t="str">
        <x:f>IF(O428&gt;0,"-"&amp;TEXT(INT(O428/60),"00")&amp;":"&amp;TEXT(MOD(O428,60),"00"),"00:00")</x:f>
        <x:v>-00:02</x:v>
      </x:c>
      <x:c r="K428" t="n">
        <x:f>ROUND((F428-C428-IF(OR(D428="",E428=""),0,E428-D428))*1440,0)</x:f>
        <x:v>438</x:v>
      </x:c>
      <x:c r="L428" t="n">
        <x:v>440</x:v>
      </x:c>
      <x:c r="M428" t="n">
        <x:f>K428-L428</x:f>
        <x:v>-2</x:v>
      </x:c>
      <x:c r="N428" t="n">
        <x:f>MAX(0,M428)</x:f>
        <x:v>0</x:v>
      </x:c>
      <x:c r="O428" t="n">
        <x:f>MAX(0,-M428)</x:f>
        <x:v>2</x:v>
      </x:c>
      <x:c r="P428" t="str">
        <x:v>Ponto registrado — complemento ilustrativo</x:v>
      </x:c>
      <x:c r="Q428" t="str">
        <x:v>Saída da CONFERÊNCIA DE CAIXA; entrada/intervalo simulados</x:v>
      </x:c>
      <x:c r="R428" t="str">
        <x:v>2026-07</x:v>
      </x:c>
    </x:row>
    <x:row r="429" ht="21" customHeight="1">
      <x:c r="A429" s="83" t="n">
        <x:v>46213</x:v>
      </x:c>
      <x:c r="B429" t="str">
        <x:v>sexta-feira</x:v>
      </x:c>
      <x:c r="C429" s="85" t="n">
        <x:v>0.5423611111111111</x:v>
      </x:c>
      <x:c r="D429" s="85" t="n">
        <x:v>0.6770833333333334</x:v>
      </x:c>
      <x:c r="E429" s="85" t="n">
        <x:v>0.7215277777777778</x:v>
      </x:c>
      <x:c r="F429" s="85" t="n">
        <x:v>0.8895833333333333</x:v>
      </x:c>
      <x:c r="G429" t="str">
        <x:f>TEXT(INT(K429/60),"00")&amp;":"&amp;TEXT(MOD(K429,60),"00")</x:f>
        <x:v>07:16</x:v>
      </x:c>
      <x:c r="H429" t="str">
        <x:f>TEXT(INT(L429/60),"00")&amp;":"&amp;TEXT(MOD(L429,60),"00")</x:f>
        <x:v>07:20</x:v>
      </x:c>
      <x:c r="I429" t="str">
        <x:f>IF(N429&gt;0,"+"&amp;TEXT(INT(N429/60),"00")&amp;":"&amp;TEXT(MOD(N429,60),"00"),"00:00")</x:f>
        <x:v>00:00</x:v>
      </x:c>
      <x:c r="J429" t="str">
        <x:f>IF(O429&gt;0,"-"&amp;TEXT(INT(O429/60),"00")&amp;":"&amp;TEXT(MOD(O429,60),"00"),"00:00")</x:f>
        <x:v>-00:04</x:v>
      </x:c>
      <x:c r="K429" t="n">
        <x:f>ROUND((F429-C429-IF(OR(D429="",E429=""),0,E429-D429))*1440,0)</x:f>
        <x:v>436</x:v>
      </x:c>
      <x:c r="L429" t="n">
        <x:v>440</x:v>
      </x:c>
      <x:c r="M429" t="n">
        <x:f>K429-L429</x:f>
        <x:v>-4</x:v>
      </x:c>
      <x:c r="N429" t="n">
        <x:f>MAX(0,M429)</x:f>
        <x:v>0</x:v>
      </x:c>
      <x:c r="O429" t="n">
        <x:f>MAX(0,-M429)</x:f>
        <x:v>4</x:v>
      </x:c>
      <x:c r="P429" t="str">
        <x:v>Ponto registrado — jornada revisada</x:v>
      </x:c>
      <x:c r="Q429" t="str">
        <x:v>Horários da planilha de jornadas revisada</x:v>
      </x:c>
      <x:c r="R429" t="str">
        <x:v>2026-07</x:v>
      </x:c>
    </x:row>
    <x:row r="430" ht="21" customHeight="1">
      <x:c r="A430" s="83" t="n">
        <x:v>46214</x:v>
      </x:c>
      <x:c r="B430" t="str">
        <x:v>sábado</x:v>
      </x:c>
      <x:c r="C430" s="85" t="n">
        <x:v>0.5409722222222222</x:v>
      </x:c>
      <x:c r="D430" s="85"/>
      <x:c r="E430" s="85"/>
      <x:c r="F430" s="85" t="n">
        <x:v>0.7083333333333334</x:v>
      </x:c>
      <x:c r="G430" t="str">
        <x:f>TEXT(INT(K430/60),"00")&amp;":"&amp;TEXT(MOD(K430,60),"00")</x:f>
        <x:v>04:01</x:v>
      </x:c>
      <x:c r="H430" t="str">
        <x:f>TEXT(INT(L430/60),"00")&amp;":"&amp;TEXT(MOD(L430,60),"00")</x:f>
        <x:v>04:00</x:v>
      </x:c>
      <x:c r="I430" t="str">
        <x:f>IF(N430&gt;0,"+"&amp;TEXT(INT(N430/60),"00")&amp;":"&amp;TEXT(MOD(N430,60),"00"),"00:00")</x:f>
        <x:v>+00:01</x:v>
      </x:c>
      <x:c r="J430" t="str">
        <x:f>IF(O430&gt;0,"-"&amp;TEXT(INT(O430/60),"00")&amp;":"&amp;TEXT(MOD(O430,60),"00"),"00:00")</x:f>
        <x:v>00:00</x:v>
      </x:c>
      <x:c r="K430" t="n">
        <x:f>ROUND((F430-C430-IF(OR(D430="",E430=""),0,E430-D430))*1440,0)</x:f>
        <x:v>241</x:v>
      </x:c>
      <x:c r="L430" t="n">
        <x:v>240</x:v>
      </x:c>
      <x:c r="M430" t="n">
        <x:f>K430-L430</x:f>
        <x:v>1</x:v>
      </x:c>
      <x:c r="N430" t="n">
        <x:f>MAX(0,M430)</x:f>
        <x:v>1</x:v>
      </x:c>
      <x:c r="O430" t="n">
        <x:f>MAX(0,-M430)</x:f>
        <x:v>0</x:v>
      </x:c>
      <x:c r="P430" t="str">
        <x:v>Ponto registrado — complemento ilustrativo</x:v>
      </x:c>
      <x:c r="Q430" t="str">
        <x:v>Saída da CONFERÊNCIA DE CAIXA; entrada/intervalo simulados</x:v>
      </x:c>
      <x:c r="R430" t="str">
        <x:v>2026-07</x:v>
      </x:c>
    </x:row>
    <x:row r="431" ht="21" customHeight="1">
      <x:c r="A431" s="83" t="n">
        <x:v>46216</x:v>
      </x:c>
      <x:c r="B431" t="str">
        <x:v>segunda-feira</x:v>
      </x:c>
      <x:c r="C431" s="85" t="n">
        <x:v>0.5375</x:v>
      </x:c>
      <x:c r="D431" s="85" t="n">
        <x:v>0.6722222222222223</x:v>
      </x:c>
      <x:c r="E431" s="85" t="n">
        <x:v>0.7131944444444445</x:v>
      </x:c>
      <x:c r="F431" s="85" t="n">
        <x:v>0.8888888888888888</x:v>
      </x:c>
      <x:c r="G431" t="str">
        <x:f>TEXT(INT(K431/60),"00")&amp;":"&amp;TEXT(MOD(K431,60),"00")</x:f>
        <x:v>07:27</x:v>
      </x:c>
      <x:c r="H431" t="str">
        <x:f>TEXT(INT(L431/60),"00")&amp;":"&amp;TEXT(MOD(L431,60),"00")</x:f>
        <x:v>07:20</x:v>
      </x:c>
      <x:c r="I431" t="str">
        <x:f>IF(N431&gt;0,"+"&amp;TEXT(INT(N431/60),"00")&amp;":"&amp;TEXT(MOD(N431,60),"00"),"00:00")</x:f>
        <x:v>+00:07</x:v>
      </x:c>
      <x:c r="J431" t="str">
        <x:f>IF(O431&gt;0,"-"&amp;TEXT(INT(O431/60),"00")&amp;":"&amp;TEXT(MOD(O431,60),"00"),"00:00")</x:f>
        <x:v>00:00</x:v>
      </x:c>
      <x:c r="K431" t="n">
        <x:f>ROUND((F431-C431-IF(OR(D431="",E431=""),0,E431-D431))*1440,0)</x:f>
        <x:v>447</x:v>
      </x:c>
      <x:c r="L431" t="n">
        <x:v>440</x:v>
      </x:c>
      <x:c r="M431" t="n">
        <x:f>K431-L431</x:f>
        <x:v>7</x:v>
      </x:c>
      <x:c r="N431" t="n">
        <x:f>MAX(0,M431)</x:f>
        <x:v>7</x:v>
      </x:c>
      <x:c r="O431" t="n">
        <x:f>MAX(0,-M431)</x:f>
        <x:v>0</x:v>
      </x:c>
      <x:c r="P431" t="str">
        <x:v>Ponto registrado — complemento ilustrativo</x:v>
      </x:c>
      <x:c r="Q431" t="str">
        <x:v>Saída da CONFERÊNCIA DE CAIXA; entrada/intervalo simulados</x:v>
      </x:c>
      <x:c r="R431" t="str">
        <x:v>2026-07</x:v>
      </x:c>
    </x:row>
    <x:row r="432" ht="21" customHeight="1">
      <x:c r="A432" s="83" t="n">
        <x:v>46217</x:v>
      </x:c>
      <x:c r="B432" t="str">
        <x:v>terça-feira</x:v>
      </x:c>
      <x:c r="C432" s="85" t="n">
        <x:v>0.5430555555555555</x:v>
      </x:c>
      <x:c r="D432" s="85" t="n">
        <x:v>0.6659722222222222</x:v>
      </x:c>
      <x:c r="E432" s="85" t="n">
        <x:v>0.7076388888888889</x:v>
      </x:c>
      <x:c r="F432" s="85" t="n">
        <x:v>0.8902777777777777</x:v>
      </x:c>
      <x:c r="G432" t="str">
        <x:f>TEXT(INT(K432/60),"00")&amp;":"&amp;TEXT(MOD(K432,60),"00")</x:f>
        <x:v>07:20</x:v>
      </x:c>
      <x:c r="H432" t="str">
        <x:f>TEXT(INT(L432/60),"00")&amp;":"&amp;TEXT(MOD(L432,60),"00")</x:f>
        <x:v>07:20</x:v>
      </x:c>
      <x:c r="I432" t="str">
        <x:f>IF(N432&gt;0,"+"&amp;TEXT(INT(N432/60),"00")&amp;":"&amp;TEXT(MOD(N432,60),"00"),"00:00")</x:f>
        <x:v>00:00</x:v>
      </x:c>
      <x:c r="J432" t="str">
        <x:f>IF(O432&gt;0,"-"&amp;TEXT(INT(O432/60),"00")&amp;":"&amp;TEXT(MOD(O432,60),"00"),"00:00")</x:f>
        <x:v>00:00</x:v>
      </x:c>
      <x:c r="K432" t="n">
        <x:f>ROUND((F432-C432-IF(OR(D432="",E432=""),0,E432-D432))*1440,0)</x:f>
        <x:v>440</x:v>
      </x:c>
      <x:c r="L432" t="n">
        <x:v>440</x:v>
      </x:c>
      <x:c r="M432" t="n">
        <x:f>K432-L432</x:f>
        <x:v>0</x:v>
      </x:c>
      <x:c r="N432" t="n">
        <x:f>MAX(0,M432)</x:f>
        <x:v>0</x:v>
      </x:c>
      <x:c r="O432" t="n">
        <x:f>MAX(0,-M432)</x:f>
        <x:v>0</x:v>
      </x:c>
      <x:c r="P432" t="str">
        <x:v>Ponto registrado — complemento ilustrativo</x:v>
      </x:c>
      <x:c r="Q432" t="str">
        <x:v>Saída da CONFERÊNCIA DE CAIXA; entrada/intervalo simulados</x:v>
      </x:c>
      <x:c r="R432" t="str">
        <x:v>2026-07</x:v>
      </x:c>
    </x:row>
    <x:row r="433" ht="21" customHeight="1">
      <x:c r="A433" s="83" t="n">
        <x:v>46218</x:v>
      </x:c>
      <x:c r="B433" t="str">
        <x:v>quarta-feira</x:v>
      </x:c>
      <x:c r="C433" s="85" t="n">
        <x:v>0.5409722222222222</x:v>
      </x:c>
      <x:c r="D433" s="85" t="n">
        <x:v>0.6944444444444444</x:v>
      </x:c>
      <x:c r="E433" s="85" t="n">
        <x:v>0.7347222222222223</x:v>
      </x:c>
      <x:c r="F433" s="85" t="n">
        <x:v>0.8888888888888888</x:v>
      </x:c>
      <x:c r="G433" t="str">
        <x:f>TEXT(INT(K433/60),"00")&amp;":"&amp;TEXT(MOD(K433,60),"00")</x:f>
        <x:v>07:23</x:v>
      </x:c>
      <x:c r="H433" t="str">
        <x:f>TEXT(INT(L433/60),"00")&amp;":"&amp;TEXT(MOD(L433,60),"00")</x:f>
        <x:v>07:20</x:v>
      </x:c>
      <x:c r="I433" t="str">
        <x:f>IF(N433&gt;0,"+"&amp;TEXT(INT(N433/60),"00")&amp;":"&amp;TEXT(MOD(N433,60),"00"),"00:00")</x:f>
        <x:v>+00:03</x:v>
      </x:c>
      <x:c r="J433" t="str">
        <x:f>IF(O433&gt;0,"-"&amp;TEXT(INT(O433/60),"00")&amp;":"&amp;TEXT(MOD(O433,60),"00"),"00:00")</x:f>
        <x:v>00:00</x:v>
      </x:c>
      <x:c r="K433" t="n">
        <x:f>ROUND((F433-C433-IF(OR(D433="",E433=""),0,E433-D433))*1440,0)</x:f>
        <x:v>443</x:v>
      </x:c>
      <x:c r="L433" t="n">
        <x:v>440</x:v>
      </x:c>
      <x:c r="M433" t="n">
        <x:f>K433-L433</x:f>
        <x:v>3</x:v>
      </x:c>
      <x:c r="N433" t="n">
        <x:f>MAX(0,M433)</x:f>
        <x:v>3</x:v>
      </x:c>
      <x:c r="O433" t="n">
        <x:f>MAX(0,-M433)</x:f>
        <x:v>0</x:v>
      </x:c>
      <x:c r="P433" t="str">
        <x:v>Ponto registrado — jornada revisada</x:v>
      </x:c>
      <x:c r="Q433" t="str">
        <x:v>Horários da planilha de jornadas revisada</x:v>
      </x:c>
      <x:c r="R433" t="str">
        <x:v>2026-07</x:v>
      </x:c>
    </x:row>
    <x:row r="434" ht="21" customHeight="1">
      <x:c r="A434" s="83" t="n">
        <x:v>46219</x:v>
      </x:c>
      <x:c r="B434" t="str">
        <x:v>quinta-feira</x:v>
      </x:c>
      <x:c r="C434" s="85" t="n">
        <x:v>0.5458333333333333</x:v>
      </x:c>
      <x:c r="D434" s="85" t="n">
        <x:v>0.6805555555555556</x:v>
      </x:c>
      <x:c r="E434" s="85" t="n">
        <x:v>0.7208333333333333</x:v>
      </x:c>
      <x:c r="F434" s="85" t="n">
        <x:v>0.8916666666666667</x:v>
      </x:c>
      <x:c r="G434" t="str">
        <x:f>TEXT(INT(K434/60),"00")&amp;":"&amp;TEXT(MOD(K434,60),"00")</x:f>
        <x:v>07:20</x:v>
      </x:c>
      <x:c r="H434" t="str">
        <x:f>TEXT(INT(L434/60),"00")&amp;":"&amp;TEXT(MOD(L434,60),"00")</x:f>
        <x:v>07:20</x:v>
      </x:c>
      <x:c r="I434" t="str">
        <x:f>IF(N434&gt;0,"+"&amp;TEXT(INT(N434/60),"00")&amp;":"&amp;TEXT(MOD(N434,60),"00"),"00:00")</x:f>
        <x:v>00:00</x:v>
      </x:c>
      <x:c r="J434" t="str">
        <x:f>IF(O434&gt;0,"-"&amp;TEXT(INT(O434/60),"00")&amp;":"&amp;TEXT(MOD(O434,60),"00"),"00:00")</x:f>
        <x:v>00:00</x:v>
      </x:c>
      <x:c r="K434" t="n">
        <x:f>ROUND((F434-C434-IF(OR(D434="",E434=""),0,E434-D434))*1440,0)</x:f>
        <x:v>440</x:v>
      </x:c>
      <x:c r="L434" t="n">
        <x:v>440</x:v>
      </x:c>
      <x:c r="M434" t="n">
        <x:f>K434-L434</x:f>
        <x:v>0</x:v>
      </x:c>
      <x:c r="N434" t="n">
        <x:f>MAX(0,M434)</x:f>
        <x:v>0</x:v>
      </x:c>
      <x:c r="O434" t="n">
        <x:f>MAX(0,-M434)</x:f>
        <x:v>0</x:v>
      </x:c>
      <x:c r="P434" t="str">
        <x:v>Ponto registrado — complemento ilustrativo</x:v>
      </x:c>
      <x:c r="Q434" t="str">
        <x:v>Saída da CONFERÊNCIA DE CAIXA; entrada/intervalo simulados</x:v>
      </x:c>
      <x:c r="R434" t="str">
        <x:v>2026-07</x:v>
      </x:c>
    </x:row>
    <x:row r="435" ht="21" customHeight="1">
      <x:c r="A435" s="83" t="n">
        <x:v>46220</x:v>
      </x:c>
      <x:c r="B435" t="str">
        <x:v>sexta-feira</x:v>
      </x:c>
      <x:c r="C435" s="85" t="n">
        <x:v>0.5430555555555555</x:v>
      </x:c>
      <x:c r="D435" s="85" t="n">
        <x:v>0.6673611111111111</x:v>
      </x:c>
      <x:c r="E435" s="85" t="n">
        <x:v>0.70625</x:v>
      </x:c>
      <x:c r="F435" s="85" t="n">
        <x:v>0.8888888888888888</x:v>
      </x:c>
      <x:c r="G435" t="str">
        <x:f>TEXT(INT(K435/60),"00")&amp;":"&amp;TEXT(MOD(K435,60),"00")</x:f>
        <x:v>07:22</x:v>
      </x:c>
      <x:c r="H435" t="str">
        <x:f>TEXT(INT(L435/60),"00")&amp;":"&amp;TEXT(MOD(L435,60),"00")</x:f>
        <x:v>07:20</x:v>
      </x:c>
      <x:c r="I435" t="str">
        <x:f>IF(N435&gt;0,"+"&amp;TEXT(INT(N435/60),"00")&amp;":"&amp;TEXT(MOD(N435,60),"00"),"00:00")</x:f>
        <x:v>+00:02</x:v>
      </x:c>
      <x:c r="J435" t="str">
        <x:f>IF(O435&gt;0,"-"&amp;TEXT(INT(O435/60),"00")&amp;":"&amp;TEXT(MOD(O435,60),"00"),"00:00")</x:f>
        <x:v>00:00</x:v>
      </x:c>
      <x:c r="K435" t="n">
        <x:f>ROUND((F435-C435-IF(OR(D435="",E435=""),0,E435-D435))*1440,0)</x:f>
        <x:v>442</x:v>
      </x:c>
      <x:c r="L435" t="n">
        <x:v>440</x:v>
      </x:c>
      <x:c r="M435" t="n">
        <x:f>K435-L435</x:f>
        <x:v>2</x:v>
      </x:c>
      <x:c r="N435" t="n">
        <x:f>MAX(0,M435)</x:f>
        <x:v>2</x:v>
      </x:c>
      <x:c r="O435" t="n">
        <x:f>MAX(0,-M435)</x:f>
        <x:v>0</x:v>
      </x:c>
      <x:c r="P435" t="str">
        <x:v>Ponto registrado — complemento ilustrativo</x:v>
      </x:c>
      <x:c r="Q435" t="str">
        <x:v>Saída da CONFERÊNCIA DE CAIXA; entrada/intervalo simulados</x:v>
      </x:c>
      <x:c r="R435" t="str">
        <x:v>2026-07</x:v>
      </x:c>
    </x:row>
    <x:row r="436" ht="21" customHeight="1">
      <x:c r="A436" s="83" t="n">
        <x:v>46221</x:v>
      </x:c>
      <x:c r="B436" t="str">
        <x:v>sábado</x:v>
      </x:c>
      <x:c r="C436" s="85" t="n">
        <x:v>0.5381944444444444</x:v>
      </x:c>
      <x:c r="D436" s="85"/>
      <x:c r="E436" s="85"/>
      <x:c r="F436" s="85" t="n">
        <x:v>0.7041666666666667</x:v>
      </x:c>
      <x:c r="G436" t="str">
        <x:f>TEXT(INT(K436/60),"00")&amp;":"&amp;TEXT(MOD(K436,60),"00")</x:f>
        <x:v>03:59</x:v>
      </x:c>
      <x:c r="H436" t="str">
        <x:f>TEXT(INT(L436/60),"00")&amp;":"&amp;TEXT(MOD(L436,60),"00")</x:f>
        <x:v>04:00</x:v>
      </x:c>
      <x:c r="I436" t="str">
        <x:f>IF(N436&gt;0,"+"&amp;TEXT(INT(N436/60),"00")&amp;":"&amp;TEXT(MOD(N436,60),"00"),"00:00")</x:f>
        <x:v>00:00</x:v>
      </x:c>
      <x:c r="J436" t="str">
        <x:f>IF(O436&gt;0,"-"&amp;TEXT(INT(O436/60),"00")&amp;":"&amp;TEXT(MOD(O436,60),"00"),"00:00")</x:f>
        <x:v>-00:01</x:v>
      </x:c>
      <x:c r="K436" t="n">
        <x:f>ROUND((F436-C436-IF(OR(D436="",E436=""),0,E436-D436))*1440,0)</x:f>
        <x:v>239</x:v>
      </x:c>
      <x:c r="L436" t="n">
        <x:v>240</x:v>
      </x:c>
      <x:c r="M436" t="n">
        <x:f>K436-L436</x:f>
        <x:v>-1</x:v>
      </x:c>
      <x:c r="N436" t="n">
        <x:f>MAX(0,M436)</x:f>
        <x:v>0</x:v>
      </x:c>
      <x:c r="O436" t="n">
        <x:f>MAX(0,-M436)</x:f>
        <x:v>1</x:v>
      </x:c>
      <x:c r="P436" t="str">
        <x:v>Ponto registrado — complemento ilustrativo</x:v>
      </x:c>
      <x:c r="Q436" t="str">
        <x:v>Saída da CONFERÊNCIA DE CAIXA; entrada/intervalo simulados</x:v>
      </x:c>
      <x:c r="R436" t="str">
        <x:v>2026-07</x:v>
      </x:c>
    </x:row>
    <x:row r="437" ht="21" customHeight="1">
      <x:c r="A437" s="83" t="n">
        <x:v>46223</x:v>
      </x:c>
      <x:c r="B437" t="str">
        <x:v>segunda-feira</x:v>
      </x:c>
      <x:c r="C437" s="85" t="n">
        <x:v>0.5444444444444444</x:v>
      </x:c>
      <x:c r="D437" s="85" t="n">
        <x:v>0.6694444444444444</x:v>
      </x:c>
      <x:c r="E437" s="85" t="n">
        <x:v>0.7125</x:v>
      </x:c>
      <x:c r="F437" s="85" t="n">
        <x:v>0.8777777777777778</x:v>
      </x:c>
      <x:c r="G437" t="str">
        <x:f>TEXT(INT(K437/60),"00")&amp;":"&amp;TEXT(MOD(K437,60),"00")</x:f>
        <x:v>06:58</x:v>
      </x:c>
      <x:c r="H437" t="str">
        <x:f>TEXT(INT(L437/60),"00")&amp;":"&amp;TEXT(MOD(L437,60),"00")</x:f>
        <x:v>07:20</x:v>
      </x:c>
      <x:c r="I437" t="str">
        <x:f>IF(N437&gt;0,"+"&amp;TEXT(INT(N437/60),"00")&amp;":"&amp;TEXT(MOD(N437,60),"00"),"00:00")</x:f>
        <x:v>00:00</x:v>
      </x:c>
      <x:c r="J437" t="str">
        <x:f>IF(O437&gt;0,"-"&amp;TEXT(INT(O437/60),"00")&amp;":"&amp;TEXT(MOD(O437,60),"00"),"00:00")</x:f>
        <x:v>-00:22</x:v>
      </x:c>
      <x:c r="K437" t="n">
        <x:f>ROUND((F437-C437-IF(OR(D437="",E437=""),0,E437-D437))*1440,0)</x:f>
        <x:v>418</x:v>
      </x:c>
      <x:c r="L437" t="n">
        <x:v>440</x:v>
      </x:c>
      <x:c r="M437" t="n">
        <x:f>K437-L437</x:f>
        <x:v>-22</x:v>
      </x:c>
      <x:c r="N437" t="n">
        <x:f>MAX(0,M437)</x:f>
        <x:v>0</x:v>
      </x:c>
      <x:c r="O437" t="n">
        <x:f>MAX(0,-M437)</x:f>
        <x:v>22</x:v>
      </x:c>
      <x:c r="P437" t="str">
        <x:v>Ponto registrado — complemento ilustrativo</x:v>
      </x:c>
      <x:c r="Q437" t="str">
        <x:v>Saída da CONFERÊNCIA DE CAIXA; entrada/intervalo simulados</x:v>
      </x:c>
      <x:c r="R437" t="str">
        <x:v>2026-07</x:v>
      </x:c>
    </x:row>
    <x:row r="438" ht="21" customHeight="1">
      <x:c r="A438" s="83" t="n">
        <x:v>46224</x:v>
      </x:c>
      <x:c r="B438" t="str">
        <x:v>terça-feira</x:v>
      </x:c>
      <x:c r="C438" s="85" t="n">
        <x:v>0.5458333333333333</x:v>
      </x:c>
      <x:c r="D438" s="85" t="n">
        <x:v>0.6736111111111112</x:v>
      </x:c>
      <x:c r="E438" s="85" t="n">
        <x:v>0.7166666666666667</x:v>
      </x:c>
      <x:c r="F438" s="85" t="n">
        <x:v>0.8881944444444444</x:v>
      </x:c>
      <x:c r="G438" t="str">
        <x:f>TEXT(INT(K438/60),"00")&amp;":"&amp;TEXT(MOD(K438,60),"00")</x:f>
        <x:v>07:11</x:v>
      </x:c>
      <x:c r="H438" t="str">
        <x:f>TEXT(INT(L438/60),"00")&amp;":"&amp;TEXT(MOD(L438,60),"00")</x:f>
        <x:v>07:20</x:v>
      </x:c>
      <x:c r="I438" t="str">
        <x:f>IF(N438&gt;0,"+"&amp;TEXT(INT(N438/60),"00")&amp;":"&amp;TEXT(MOD(N438,60),"00"),"00:00")</x:f>
        <x:v>00:00</x:v>
      </x:c>
      <x:c r="J438" t="str">
        <x:f>IF(O438&gt;0,"-"&amp;TEXT(INT(O438/60),"00")&amp;":"&amp;TEXT(MOD(O438,60),"00"),"00:00")</x:f>
        <x:v>-00:09</x:v>
      </x:c>
      <x:c r="K438" t="n">
        <x:f>ROUND((F438-C438-IF(OR(D438="",E438=""),0,E438-D438))*1440,0)</x:f>
        <x:v>431</x:v>
      </x:c>
      <x:c r="L438" t="n">
        <x:v>440</x:v>
      </x:c>
      <x:c r="M438" t="n">
        <x:f>K438-L438</x:f>
        <x:v>-9</x:v>
      </x:c>
      <x:c r="N438" t="n">
        <x:f>MAX(0,M438)</x:f>
        <x:v>0</x:v>
      </x:c>
      <x:c r="O438" t="n">
        <x:f>MAX(0,-M438)</x:f>
        <x:v>9</x:v>
      </x:c>
      <x:c r="P438" t="str">
        <x:v>Ponto registrado — complemento ilustrativo</x:v>
      </x:c>
      <x:c r="Q438" t="str">
        <x:v>Saída da CONFERÊNCIA DE CAIXA; entrada/intervalo simulados</x:v>
      </x:c>
      <x:c r="R438" t="str">
        <x:v>2026-07</x:v>
      </x:c>
    </x:row>
    <x:row r="439" ht="21" customHeight="1">
      <x:c r="A439" s="83" t="n">
        <x:v>46225</x:v>
      </x:c>
      <x:c r="B439" t="str">
        <x:v>quarta-feira</x:v>
      </x:c>
      <x:c r="C439" s="85" t="n">
        <x:v>0.54375</x:v>
      </x:c>
      <x:c r="D439" s="85" t="n">
        <x:v>0.6708333333333333</x:v>
      </x:c>
      <x:c r="E439" s="85" t="n">
        <x:v>0.7111111111111111</x:v>
      </x:c>
      <x:c r="F439" s="85" t="n">
        <x:v>0.8909722222222223</x:v>
      </x:c>
      <x:c r="G439" t="str">
        <x:f>TEXT(INT(K439/60),"00")&amp;":"&amp;TEXT(MOD(K439,60),"00")</x:f>
        <x:v>07:22</x:v>
      </x:c>
      <x:c r="H439" t="str">
        <x:f>TEXT(INT(L439/60),"00")&amp;":"&amp;TEXT(MOD(L439,60),"00")</x:f>
        <x:v>07:20</x:v>
      </x:c>
      <x:c r="I439" t="str">
        <x:f>IF(N439&gt;0,"+"&amp;TEXT(INT(N439/60),"00")&amp;":"&amp;TEXT(MOD(N439,60),"00"),"00:00")</x:f>
        <x:v>+00:02</x:v>
      </x:c>
      <x:c r="J439" t="str">
        <x:f>IF(O439&gt;0,"-"&amp;TEXT(INT(O439/60),"00")&amp;":"&amp;TEXT(MOD(O439,60),"00"),"00:00")</x:f>
        <x:v>00:00</x:v>
      </x:c>
      <x:c r="K439" t="n">
        <x:f>ROUND((F439-C439-IF(OR(D439="",E439=""),0,E439-D439))*1440,0)</x:f>
        <x:v>442</x:v>
      </x:c>
      <x:c r="L439" t="n">
        <x:v>440</x:v>
      </x:c>
      <x:c r="M439" t="n">
        <x:f>K439-L439</x:f>
        <x:v>2</x:v>
      </x:c>
      <x:c r="N439" t="n">
        <x:f>MAX(0,M439)</x:f>
        <x:v>2</x:v>
      </x:c>
      <x:c r="O439" t="n">
        <x:f>MAX(0,-M439)</x:f>
        <x:v>0</x:v>
      </x:c>
      <x:c r="P439" t="str">
        <x:v>Ponto registrado — complemento ilustrativo</x:v>
      </x:c>
      <x:c r="Q439" t="str">
        <x:v>Saída da CONFERÊNCIA DE CAIXA; entrada/intervalo simulados</x:v>
      </x:c>
      <x:c r="R439" t="str">
        <x:v>2026-07</x:v>
      </x:c>
    </x:row>
    <x:row r="440" ht="21" customHeight="1">
      <x:c r="A440" s="83" t="n">
        <x:v>46226</x:v>
      </x:c>
      <x:c r="B440" t="str">
        <x:v>quinta-feira</x:v>
      </x:c>
      <x:c r="C440" s="85" t="n">
        <x:v>0.5465277777777777</x:v>
      </x:c>
      <x:c r="D440" s="85" t="n">
        <x:v>0.6694444444444444</x:v>
      </x:c>
      <x:c r="E440" s="85" t="n">
        <x:v>0.7125</x:v>
      </x:c>
      <x:c r="F440" s="85" t="n">
        <x:v>0.8868055555555555</x:v>
      </x:c>
      <x:c r="G440" t="str">
        <x:f>TEXT(INT(K440/60),"00")&amp;":"&amp;TEXT(MOD(K440,60),"00")</x:f>
        <x:v>07:08</x:v>
      </x:c>
      <x:c r="H440" t="str">
        <x:f>TEXT(INT(L440/60),"00")&amp;":"&amp;TEXT(MOD(L440,60),"00")</x:f>
        <x:v>07:20</x:v>
      </x:c>
      <x:c r="I440" t="str">
        <x:f>IF(N440&gt;0,"+"&amp;TEXT(INT(N440/60),"00")&amp;":"&amp;TEXT(MOD(N440,60),"00"),"00:00")</x:f>
        <x:v>00:00</x:v>
      </x:c>
      <x:c r="J440" t="str">
        <x:f>IF(O440&gt;0,"-"&amp;TEXT(INT(O440/60),"00")&amp;":"&amp;TEXT(MOD(O440,60),"00"),"00:00")</x:f>
        <x:v>-00:12</x:v>
      </x:c>
      <x:c r="K440" t="n">
        <x:f>ROUND((F440-C440-IF(OR(D440="",E440=""),0,E440-D440))*1440,0)</x:f>
        <x:v>428</x:v>
      </x:c>
      <x:c r="L440" t="n">
        <x:v>440</x:v>
      </x:c>
      <x:c r="M440" t="n">
        <x:f>K440-L440</x:f>
        <x:v>-12</x:v>
      </x:c>
      <x:c r="N440" t="n">
        <x:f>MAX(0,M440)</x:f>
        <x:v>0</x:v>
      </x:c>
      <x:c r="O440" t="n">
        <x:f>MAX(0,-M440)</x:f>
        <x:v>12</x:v>
      </x:c>
      <x:c r="P440" t="str">
        <x:v>Ponto registrado — complemento ilustrativo</x:v>
      </x:c>
      <x:c r="Q440" t="str">
        <x:v>Saída da CONFERÊNCIA DE CAIXA; entrada/intervalo simulados</x:v>
      </x:c>
      <x:c r="R440" t="str">
        <x:v>2026-07</x:v>
      </x:c>
    </x:row>
    <x:row r="441" ht="21" customHeight="1">
      <x:c r="A441" s="83" t="n">
        <x:v>46227</x:v>
      </x:c>
      <x:c r="B441" t="str">
        <x:v>sexta-feira</x:v>
      </x:c>
      <x:c r="C441" s="85" t="n">
        <x:v>0.5423611111111111</x:v>
      </x:c>
      <x:c r="D441" s="85" t="n">
        <x:v>0.6680555555555555</x:v>
      </x:c>
      <x:c r="E441" s="85" t="n">
        <x:v>0.7104166666666667</x:v>
      </x:c>
      <x:c r="F441" s="85" t="n">
        <x:v>0.8868055555555555</x:v>
      </x:c>
      <x:c r="G441" t="str">
        <x:f>TEXT(INT(K441/60),"00")&amp;":"&amp;TEXT(MOD(K441,60),"00")</x:f>
        <x:v>07:15</x:v>
      </x:c>
      <x:c r="H441" t="str">
        <x:f>TEXT(INT(L441/60),"00")&amp;":"&amp;TEXT(MOD(L441,60),"00")</x:f>
        <x:v>07:20</x:v>
      </x:c>
      <x:c r="I441" t="str">
        <x:f>IF(N441&gt;0,"+"&amp;TEXT(INT(N441/60),"00")&amp;":"&amp;TEXT(MOD(N441,60),"00"),"00:00")</x:f>
        <x:v>00:00</x:v>
      </x:c>
      <x:c r="J441" t="str">
        <x:f>IF(O441&gt;0,"-"&amp;TEXT(INT(O441/60),"00")&amp;":"&amp;TEXT(MOD(O441,60),"00"),"00:00")</x:f>
        <x:v>-00:05</x:v>
      </x:c>
      <x:c r="K441" t="n">
        <x:f>ROUND((F441-C441-IF(OR(D441="",E441=""),0,E441-D441))*1440,0)</x:f>
        <x:v>435</x:v>
      </x:c>
      <x:c r="L441" t="n">
        <x:v>440</x:v>
      </x:c>
      <x:c r="M441" t="n">
        <x:f>K441-L441</x:f>
        <x:v>-5</x:v>
      </x:c>
      <x:c r="N441" t="n">
        <x:f>MAX(0,M441)</x:f>
        <x:v>0</x:v>
      </x:c>
      <x:c r="O441" t="n">
        <x:f>MAX(0,-M441)</x:f>
        <x:v>5</x:v>
      </x:c>
      <x:c r="P441" t="str">
        <x:v>Ponto registrado — complemento ilustrativo</x:v>
      </x:c>
      <x:c r="Q441" t="str">
        <x:v>Saída da CONFERÊNCIA DE CAIXA; entrada/intervalo simulados</x:v>
      </x:c>
      <x:c r="R441" t="str">
        <x:v>2026-07</x:v>
      </x:c>
    </x:row>
    <x:row r="442" ht="21" customHeight="1">
      <x:c r="A442" s="83" t="n">
        <x:v>46228</x:v>
      </x:c>
      <x:c r="B442" t="str">
        <x:v>sábado</x:v>
      </x:c>
      <x:c r="C442" s="85" t="n">
        <x:v>0.5465277777777777</x:v>
      </x:c>
      <x:c r="D442" s="85"/>
      <x:c r="E442" s="85"/>
      <x:c r="F442" s="85" t="n">
        <x:v>0.7041666666666667</x:v>
      </x:c>
      <x:c r="G442" t="str">
        <x:f>TEXT(INT(K442/60),"00")&amp;":"&amp;TEXT(MOD(K442,60),"00")</x:f>
        <x:v>03:47</x:v>
      </x:c>
      <x:c r="H442" t="str">
        <x:f>TEXT(INT(L442/60),"00")&amp;":"&amp;TEXT(MOD(L442,60),"00")</x:f>
        <x:v>04:00</x:v>
      </x:c>
      <x:c r="I442" t="str">
        <x:f>IF(N442&gt;0,"+"&amp;TEXT(INT(N442/60),"00")&amp;":"&amp;TEXT(MOD(N442,60),"00"),"00:00")</x:f>
        <x:v>00:00</x:v>
      </x:c>
      <x:c r="J442" t="str">
        <x:f>IF(O442&gt;0,"-"&amp;TEXT(INT(O442/60),"00")&amp;":"&amp;TEXT(MOD(O442,60),"00"),"00:00")</x:f>
        <x:v>-00:13</x:v>
      </x:c>
      <x:c r="K442" t="n">
        <x:f>ROUND((F442-C442-IF(OR(D442="",E442=""),0,E442-D442))*1440,0)</x:f>
        <x:v>227</x:v>
      </x:c>
      <x:c r="L442" t="n">
        <x:v>240</x:v>
      </x:c>
      <x:c r="M442" t="n">
        <x:f>K442-L442</x:f>
        <x:v>-13</x:v>
      </x:c>
      <x:c r="N442" t="n">
        <x:f>MAX(0,M442)</x:f>
        <x:v>0</x:v>
      </x:c>
      <x:c r="O442" t="n">
        <x:f>MAX(0,-M442)</x:f>
        <x:v>13</x:v>
      </x:c>
      <x:c r="P442" t="str">
        <x:v>Ponto registrado — complemento ilustrativo</x:v>
      </x:c>
      <x:c r="Q442" t="str">
        <x:v>Saída da CONFERÊNCIA DE CAIXA; entrada/intervalo simulados</x:v>
      </x:c>
      <x:c r="R442" t="str">
        <x:v>2026-07</x:v>
      </x:c>
    </x:row>
    <x:row r="443" ht="21" customHeight="1">
      <x:c r="A443" s="83" t="n">
        <x:v>46230</x:v>
      </x:c>
      <x:c r="B443" t="str">
        <x:v>segunda-feira</x:v>
      </x:c>
      <x:c r="C443" s="85" t="n">
        <x:v>0.5381944444444444</x:v>
      </x:c>
      <x:c r="D443" s="85" t="n">
        <x:v>0.6777777777777778</x:v>
      </x:c>
      <x:c r="E443" s="85" t="n">
        <x:v>0.7215277777777778</x:v>
      </x:c>
      <x:c r="F443" s="85" t="n">
        <x:v>0.8861111111111111</x:v>
      </x:c>
      <x:c r="G443" t="str">
        <x:f>TEXT(INT(K443/60),"00")&amp;":"&amp;TEXT(MOD(K443,60),"00")</x:f>
        <x:v>07:18</x:v>
      </x:c>
      <x:c r="H443" t="str">
        <x:f>TEXT(INT(L443/60),"00")&amp;":"&amp;TEXT(MOD(L443,60),"00")</x:f>
        <x:v>07:20</x:v>
      </x:c>
      <x:c r="I443" t="str">
        <x:f>IF(N443&gt;0,"+"&amp;TEXT(INT(N443/60),"00")&amp;":"&amp;TEXT(MOD(N443,60),"00"),"00:00")</x:f>
        <x:v>00:00</x:v>
      </x:c>
      <x:c r="J443" t="str">
        <x:f>IF(O443&gt;0,"-"&amp;TEXT(INT(O443/60),"00")&amp;":"&amp;TEXT(MOD(O443,60),"00"),"00:00")</x:f>
        <x:v>-00:02</x:v>
      </x:c>
      <x:c r="K443" t="n">
        <x:f>ROUND((F443-C443-IF(OR(D443="",E443=""),0,E443-D443))*1440,0)</x:f>
        <x:v>438</x:v>
      </x:c>
      <x:c r="L443" t="n">
        <x:v>440</x:v>
      </x:c>
      <x:c r="M443" t="n">
        <x:f>K443-L443</x:f>
        <x:v>-2</x:v>
      </x:c>
      <x:c r="N443" t="n">
        <x:f>MAX(0,M443)</x:f>
        <x:v>0</x:v>
      </x:c>
      <x:c r="O443" t="n">
        <x:f>MAX(0,-M443)</x:f>
        <x:v>2</x:v>
      </x:c>
      <x:c r="P443" t="str">
        <x:v>Ponto registrado — complemento ilustrativo</x:v>
      </x:c>
      <x:c r="Q443" t="str">
        <x:v>Saída da CONFERÊNCIA DE CAIXA; entrada/intervalo simulados</x:v>
      </x:c>
      <x:c r="R443" t="str">
        <x:v>2026-07</x:v>
      </x:c>
    </x:row>
    <x:row r="444" ht="21" customHeight="1">
      <x:c r="A444" s="83" t="n">
        <x:v>46231</x:v>
      </x:c>
      <x:c r="B444" t="str">
        <x:v>terça-feira</x:v>
      </x:c>
      <x:c r="C444" s="85" t="n">
        <x:v>0.5409722222222222</x:v>
      </x:c>
      <x:c r="D444" s="85" t="n">
        <x:v>0.6791666666666667</x:v>
      </x:c>
      <x:c r="E444" s="85" t="n">
        <x:v>0.7201388888888889</x:v>
      </x:c>
      <x:c r="F444" s="85" t="n">
        <x:v>0.8881944444444444</x:v>
      </x:c>
      <x:c r="G444" t="str">
        <x:f>TEXT(INT(K444/60),"00")&amp;":"&amp;TEXT(MOD(K444,60),"00")</x:f>
        <x:v>07:21</x:v>
      </x:c>
      <x:c r="H444" t="str">
        <x:f>TEXT(INT(L444/60),"00")&amp;":"&amp;TEXT(MOD(L444,60),"00")</x:f>
        <x:v>07:20</x:v>
      </x:c>
      <x:c r="I444" t="str">
        <x:f>IF(N444&gt;0,"+"&amp;TEXT(INT(N444/60),"00")&amp;":"&amp;TEXT(MOD(N444,60),"00"),"00:00")</x:f>
        <x:v>+00:01</x:v>
      </x:c>
      <x:c r="J444" t="str">
        <x:f>IF(O444&gt;0,"-"&amp;TEXT(INT(O444/60),"00")&amp;":"&amp;TEXT(MOD(O444,60),"00"),"00:00")</x:f>
        <x:v>00:00</x:v>
      </x:c>
      <x:c r="K444" t="n">
        <x:f>ROUND((F444-C444-IF(OR(D444="",E444=""),0,E444-D444))*1440,0)</x:f>
        <x:v>441</x:v>
      </x:c>
      <x:c r="L444" t="n">
        <x:v>440</x:v>
      </x:c>
      <x:c r="M444" t="n">
        <x:f>K444-L444</x:f>
        <x:v>1</x:v>
      </x:c>
      <x:c r="N444" t="n">
        <x:f>MAX(0,M444)</x:f>
        <x:v>1</x:v>
      </x:c>
      <x:c r="O444" t="n">
        <x:f>MAX(0,-M444)</x:f>
        <x:v>0</x:v>
      </x:c>
      <x:c r="P444" t="str">
        <x:v>Ponto registrado — complemento ilustrativo</x:v>
      </x:c>
      <x:c r="Q444" t="str">
        <x:v>Saída da CONFERÊNCIA DE CAIXA; entrada/intervalo simulados</x:v>
      </x:c>
      <x:c r="R444" t="str">
        <x:v>2026-07</x:v>
      </x:c>
    </x:row>
    <x:row r="445" ht="21" customHeight="1">
      <x:c r="A445" s="83" t="n">
        <x:v>46232</x:v>
      </x:c>
      <x:c r="B445" t="str">
        <x:v>quarta-feira</x:v>
      </x:c>
      <x:c r="C445" s="85" t="n">
        <x:v>0.5395833333333333</x:v>
      </x:c>
      <x:c r="D445" s="85" t="n">
        <x:v>0.6694444444444444</x:v>
      </x:c>
      <x:c r="E445" s="85" t="n">
        <x:v>0.7131944444444445</x:v>
      </x:c>
      <x:c r="F445" s="85" t="n">
        <x:v>0.8888888888888888</x:v>
      </x:c>
      <x:c r="G445" t="str">
        <x:f>TEXT(INT(K445/60),"00")&amp;":"&amp;TEXT(MOD(K445,60),"00")</x:f>
        <x:v>07:20</x:v>
      </x:c>
      <x:c r="H445" t="str">
        <x:f>TEXT(INT(L445/60),"00")&amp;":"&amp;TEXT(MOD(L445,60),"00")</x:f>
        <x:v>07:20</x:v>
      </x:c>
      <x:c r="I445" t="str">
        <x:f>IF(N445&gt;0,"+"&amp;TEXT(INT(N445/60),"00")&amp;":"&amp;TEXT(MOD(N445,60),"00"),"00:00")</x:f>
        <x:v>00:00</x:v>
      </x:c>
      <x:c r="J445" t="str">
        <x:f>IF(O445&gt;0,"-"&amp;TEXT(INT(O445/60),"00")&amp;":"&amp;TEXT(MOD(O445,60),"00"),"00:00")</x:f>
        <x:v>00:00</x:v>
      </x:c>
      <x:c r="K445" t="n">
        <x:f>ROUND((F445-C445-IF(OR(D445="",E445=""),0,E445-D445))*1440,0)</x:f>
        <x:v>440</x:v>
      </x:c>
      <x:c r="L445" t="n">
        <x:v>440</x:v>
      </x:c>
      <x:c r="M445" t="n">
        <x:f>K445-L445</x:f>
        <x:v>0</x:v>
      </x:c>
      <x:c r="N445" t="n">
        <x:f>MAX(0,M445)</x:f>
        <x:v>0</x:v>
      </x:c>
      <x:c r="O445" t="n">
        <x:f>MAX(0,-M445)</x:f>
        <x:v>0</x:v>
      </x:c>
      <x:c r="P445" t="str">
        <x:v>Ponto registrado — complemento ilustrativo</x:v>
      </x:c>
      <x:c r="Q445" t="str">
        <x:v>Saída da CONFERÊNCIA DE CAIXA; entrada/intervalo simulados</x:v>
      </x:c>
      <x:c r="R445" t="str">
        <x:v>2026-07</x:v>
      </x:c>
    </x:row>
    <x:row r="446" ht="21" customHeight="1">
      <x:c r="A446" s="83" t="n">
        <x:v>46233</x:v>
      </x:c>
      <x:c r="B446" t="str">
        <x:v>quinta-feira</x:v>
      </x:c>
      <x:c r="C446" s="85" t="n">
        <x:v>0.5381944444444444</x:v>
      </x:c>
      <x:c r="D446" s="85" t="n">
        <x:v>0.6805555555555556</x:v>
      </x:c>
      <x:c r="E446" s="85" t="n">
        <x:v>0.7236111111111111</x:v>
      </x:c>
      <x:c r="F446" s="85" t="n">
        <x:v>0.8888888888888888</x:v>
      </x:c>
      <x:c r="G446" t="str">
        <x:f>TEXT(INT(K446/60),"00")&amp;":"&amp;TEXT(MOD(K446,60),"00")</x:f>
        <x:v>07:23</x:v>
      </x:c>
      <x:c r="H446" t="str">
        <x:f>TEXT(INT(L446/60),"00")&amp;":"&amp;TEXT(MOD(L446,60),"00")</x:f>
        <x:v>07:20</x:v>
      </x:c>
      <x:c r="I446" t="str">
        <x:f>IF(N446&gt;0,"+"&amp;TEXT(INT(N446/60),"00")&amp;":"&amp;TEXT(MOD(N446,60),"00"),"00:00")</x:f>
        <x:v>+00:03</x:v>
      </x:c>
      <x:c r="J446" t="str">
        <x:f>IF(O446&gt;0,"-"&amp;TEXT(INT(O446/60),"00")&amp;":"&amp;TEXT(MOD(O446,60),"00"),"00:00")</x:f>
        <x:v>00:00</x:v>
      </x:c>
      <x:c r="K446" t="n">
        <x:f>ROUND((F446-C446-IF(OR(D446="",E446=""),0,E446-D446))*1440,0)</x:f>
        <x:v>443</x:v>
      </x:c>
      <x:c r="L446" t="n">
        <x:v>440</x:v>
      </x:c>
      <x:c r="M446" t="n">
        <x:f>K446-L446</x:f>
        <x:v>3</x:v>
      </x:c>
      <x:c r="N446" t="n">
        <x:f>MAX(0,M446)</x:f>
        <x:v>3</x:v>
      </x:c>
      <x:c r="O446" t="n">
        <x:f>MAX(0,-M446)</x:f>
        <x:v>0</x:v>
      </x:c>
      <x:c r="P446" t="str">
        <x:v>Ponto registrado — jornada revisada</x:v>
      </x:c>
      <x:c r="Q446" t="str">
        <x:v>Horários da planilha de jornadas revisada</x:v>
      </x:c>
      <x:c r="R446" t="str">
        <x:v>2026-07</x:v>
      </x:c>
    </x:row>
    <x:row r="447" ht="21" customHeight="1">
      <x:c r="A447" s="83" t="n">
        <x:v>46234</x:v>
      </x:c>
      <x:c r="B447" t="str">
        <x:v>sexta-feira</x:v>
      </x:c>
      <x:c r="C447" s="85" t="n">
        <x:v>0.5430555555555555</x:v>
      </x:c>
      <x:c r="D447" s="85" t="n">
        <x:v>0.6659722222222222</x:v>
      </x:c>
      <x:c r="E447" s="85" t="n">
        <x:v>0.7055555555555556</x:v>
      </x:c>
      <x:c r="F447" s="85" t="n">
        <x:v>0.8902777777777777</x:v>
      </x:c>
      <x:c r="G447" t="str">
        <x:f>TEXT(INT(K447/60),"00")&amp;":"&amp;TEXT(MOD(K447,60),"00")</x:f>
        <x:v>07:23</x:v>
      </x:c>
      <x:c r="H447" t="str">
        <x:f>TEXT(INT(L447/60),"00")&amp;":"&amp;TEXT(MOD(L447,60),"00")</x:f>
        <x:v>07:20</x:v>
      </x:c>
      <x:c r="I447" t="str">
        <x:f>IF(N447&gt;0,"+"&amp;TEXT(INT(N447/60),"00")&amp;":"&amp;TEXT(MOD(N447,60),"00"),"00:00")</x:f>
        <x:v>+00:03</x:v>
      </x:c>
      <x:c r="J447" t="str">
        <x:f>IF(O447&gt;0,"-"&amp;TEXT(INT(O447/60),"00")&amp;":"&amp;TEXT(MOD(O447,60),"00"),"00:00")</x:f>
        <x:v>00:00</x:v>
      </x:c>
      <x:c r="K447" t="n">
        <x:f>ROUND((F447-C447-IF(OR(D447="",E447=""),0,E447-D447))*1440,0)</x:f>
        <x:v>443</x:v>
      </x:c>
      <x:c r="L447" t="n">
        <x:v>440</x:v>
      </x:c>
      <x:c r="M447" t="n">
        <x:f>K447-L447</x:f>
        <x:v>3</x:v>
      </x:c>
      <x:c r="N447" t="n">
        <x:f>MAX(0,M447)</x:f>
        <x:v>3</x:v>
      </x:c>
      <x:c r="O447" t="n">
        <x:f>MAX(0,-M447)</x:f>
        <x:v>0</x:v>
      </x:c>
      <x:c r="P447" t="str">
        <x:v>Ponto registrado — complemento ilustrativo</x:v>
      </x:c>
      <x:c r="Q447" t="str">
        <x:v>Saída da CONFERÊNCIA DE CAIXA; entrada/intervalo simulados</x:v>
      </x:c>
      <x:c r="R447" t="str">
        <x:v>2026-07</x:v>
      </x:c>
    </x:row>
    <x:row r="448" ht="21" customHeight="1">
      <x:c r="A448" s="83" t="n">
        <x:v>46235</x:v>
      </x:c>
      <x:c r="B448" t="str">
        <x:v>sábado</x:v>
      </x:c>
      <x:c r="C448" s="85" t="n">
        <x:v>0.5430555555555555</x:v>
      </x:c>
      <x:c r="D448" s="85"/>
      <x:c r="E448" s="85"/>
      <x:c r="F448" s="85" t="n">
        <x:v>0.7076388888888889</x:v>
      </x:c>
      <x:c r="G448" t="str">
        <x:f>TEXT(INT(K448/60),"00")&amp;":"&amp;TEXT(MOD(K448,60),"00")</x:f>
        <x:v>03:57</x:v>
      </x:c>
      <x:c r="H448" t="str">
        <x:f>TEXT(INT(L448/60),"00")&amp;":"&amp;TEXT(MOD(L448,60),"00")</x:f>
        <x:v>04:00</x:v>
      </x:c>
      <x:c r="I448" t="str">
        <x:f>IF(N448&gt;0,"+"&amp;TEXT(INT(N448/60),"00")&amp;":"&amp;TEXT(MOD(N448,60),"00"),"00:00")</x:f>
        <x:v>00:00</x:v>
      </x:c>
      <x:c r="J448" t="str">
        <x:f>IF(O448&gt;0,"-"&amp;TEXT(INT(O448/60),"00")&amp;":"&amp;TEXT(MOD(O448,60),"00"),"00:00")</x:f>
        <x:v>-00:03</x:v>
      </x:c>
      <x:c r="K448" t="n">
        <x:f>ROUND((F448-C448-IF(OR(D448="",E448=""),0,E448-D448))*1440,0)</x:f>
        <x:v>237</x:v>
      </x:c>
      <x:c r="L448" t="n">
        <x:v>240</x:v>
      </x:c>
      <x:c r="M448" t="n">
        <x:f>K448-L448</x:f>
        <x:v>-3</x:v>
      </x:c>
      <x:c r="N448" t="n">
        <x:f>MAX(0,M448)</x:f>
        <x:v>0</x:v>
      </x:c>
      <x:c r="O448" t="n">
        <x:f>MAX(0,-M448)</x:f>
        <x:v>3</x:v>
      </x:c>
      <x:c r="P448" t="str">
        <x:v>Ponto registrado — complemento ilustrativo</x:v>
      </x:c>
      <x:c r="Q448" t="str">
        <x:v>Saída da CONFERÊNCIA DE CAIXA; entrada/intervalo simulados</x:v>
      </x:c>
      <x:c r="R448" t="str">
        <x:v>2026-08</x:v>
      </x:c>
    </x:row>
    <x:row r="449" ht="21" customHeight="1">
      <x:c r="A449" s="83" t="n">
        <x:v>46237</x:v>
      </x:c>
      <x:c r="B449" t="str">
        <x:v>segunda-feira</x:v>
      </x:c>
      <x:c r="C449" s="85" t="n">
        <x:v>0.5416666666666666</x:v>
      </x:c>
      <x:c r="D449" s="85" t="n">
        <x:v>0.6770833333333334</x:v>
      </x:c>
      <x:c r="E449" s="85" t="n">
        <x:v>0.7201388888888889</x:v>
      </x:c>
      <x:c r="F449" s="85" t="n">
        <x:v>0.8888888888888888</x:v>
      </x:c>
      <x:c r="G449" t="str">
        <x:f>TEXT(INT(K449/60),"00")&amp;":"&amp;TEXT(MOD(K449,60),"00")</x:f>
        <x:v>07:18</x:v>
      </x:c>
      <x:c r="H449" t="str">
        <x:f>TEXT(INT(L449/60),"00")&amp;":"&amp;TEXT(MOD(L449,60),"00")</x:f>
        <x:v>07:20</x:v>
      </x:c>
      <x:c r="I449" t="str">
        <x:f>IF(N449&gt;0,"+"&amp;TEXT(INT(N449/60),"00")&amp;":"&amp;TEXT(MOD(N449,60),"00"),"00:00")</x:f>
        <x:v>00:00</x:v>
      </x:c>
      <x:c r="J449" t="str">
        <x:f>IF(O449&gt;0,"-"&amp;TEXT(INT(O449/60),"00")&amp;":"&amp;TEXT(MOD(O449,60),"00"),"00:00")</x:f>
        <x:v>-00:02</x:v>
      </x:c>
      <x:c r="K449" t="n">
        <x:f>ROUND((F449-C449-IF(OR(D449="",E449=""),0,E449-D449))*1440,0)</x:f>
        <x:v>438</x:v>
      </x:c>
      <x:c r="L449" t="n">
        <x:v>440</x:v>
      </x:c>
      <x:c r="M449" t="n">
        <x:f>K449-L449</x:f>
        <x:v>-2</x:v>
      </x:c>
      <x:c r="N449" t="n">
        <x:f>MAX(0,M449)</x:f>
        <x:v>0</x:v>
      </x:c>
      <x:c r="O449" t="n">
        <x:f>MAX(0,-M449)</x:f>
        <x:v>2</x:v>
      </x:c>
      <x:c r="P449" t="str">
        <x:v>Ponto registrado — complemento ilustrativo</x:v>
      </x:c>
      <x:c r="Q449" t="str">
        <x:v>Saída da CONFERÊNCIA DE CAIXA; entrada/intervalo simulados</x:v>
      </x:c>
      <x:c r="R449" t="str">
        <x:v>2026-08</x:v>
      </x:c>
    </x:row>
    <x:row r="450" ht="21" customHeight="1">
      <x:c r="A450" s="83" t="n">
        <x:v>46238</x:v>
      </x:c>
      <x:c r="B450" t="str">
        <x:v>terça-feira</x:v>
      </x:c>
      <x:c r="C450" s="85" t="n">
        <x:v>0.5430555555555555</x:v>
      </x:c>
      <x:c r="D450" s="85" t="n">
        <x:v>0.6736111111111112</x:v>
      </x:c>
      <x:c r="E450" s="85" t="n">
        <x:v>0.7138888888888889</x:v>
      </x:c>
      <x:c r="F450" s="85" t="n">
        <x:v>0.8881944444444444</x:v>
      </x:c>
      <x:c r="G450" t="str">
        <x:f>TEXT(INT(K450/60),"00")&amp;":"&amp;TEXT(MOD(K450,60),"00")</x:f>
        <x:v>07:19</x:v>
      </x:c>
      <x:c r="H450" t="str">
        <x:f>TEXT(INT(L450/60),"00")&amp;":"&amp;TEXT(MOD(L450,60),"00")</x:f>
        <x:v>07:20</x:v>
      </x:c>
      <x:c r="I450" t="str">
        <x:f>IF(N450&gt;0,"+"&amp;TEXT(INT(N450/60),"00")&amp;":"&amp;TEXT(MOD(N450,60),"00"),"00:00")</x:f>
        <x:v>00:00</x:v>
      </x:c>
      <x:c r="J450" t="str">
        <x:f>IF(O450&gt;0,"-"&amp;TEXT(INT(O450/60),"00")&amp;":"&amp;TEXT(MOD(O450,60),"00"),"00:00")</x:f>
        <x:v>-00:01</x:v>
      </x:c>
      <x:c r="K450" t="n">
        <x:f>ROUND((F450-C450-IF(OR(D450="",E450=""),0,E450-D450))*1440,0)</x:f>
        <x:v>439</x:v>
      </x:c>
      <x:c r="L450" t="n">
        <x:v>440</x:v>
      </x:c>
      <x:c r="M450" t="n">
        <x:f>K450-L450</x:f>
        <x:v>-1</x:v>
      </x:c>
      <x:c r="N450" t="n">
        <x:f>MAX(0,M450)</x:f>
        <x:v>0</x:v>
      </x:c>
      <x:c r="O450" t="n">
        <x:f>MAX(0,-M450)</x:f>
        <x:v>1</x:v>
      </x:c>
      <x:c r="P450" t="str">
        <x:v>Ponto registrado — complemento ilustrativo</x:v>
      </x:c>
      <x:c r="Q450" t="str">
        <x:v>Saída da CONFERÊNCIA DE CAIXA; entrada/intervalo simulados</x:v>
      </x:c>
      <x:c r="R450" t="str">
        <x:v>2026-08</x:v>
      </x:c>
    </x:row>
    <x:row r="451" ht="21" customHeight="1">
      <x:c r="A451" s="83" t="n">
        <x:v>46239</x:v>
      </x:c>
      <x:c r="B451" t="str">
        <x:v>quarta-feira</x:v>
      </x:c>
      <x:c r="C451" s="85" t="n">
        <x:v>0.5388888888888889</x:v>
      </x:c>
      <x:c r="D451" s="85" t="n">
        <x:v>0.6763888888888889</x:v>
      </x:c>
      <x:c r="E451" s="85" t="n">
        <x:v>0.7194444444444444</x:v>
      </x:c>
      <x:c r="F451" s="85" t="n">
        <x:v>0.8902777777777777</x:v>
      </x:c>
      <x:c r="G451" t="str">
        <x:f>TEXT(INT(K451/60),"00")&amp;":"&amp;TEXT(MOD(K451,60),"00")</x:f>
        <x:v>07:24</x:v>
      </x:c>
      <x:c r="H451" t="str">
        <x:f>TEXT(INT(L451/60),"00")&amp;":"&amp;TEXT(MOD(L451,60),"00")</x:f>
        <x:v>07:20</x:v>
      </x:c>
      <x:c r="I451" t="str">
        <x:f>IF(N451&gt;0,"+"&amp;TEXT(INT(N451/60),"00")&amp;":"&amp;TEXT(MOD(N451,60),"00"),"00:00")</x:f>
        <x:v>+00:04</x:v>
      </x:c>
      <x:c r="J451" t="str">
        <x:f>IF(O451&gt;0,"-"&amp;TEXT(INT(O451/60),"00")&amp;":"&amp;TEXT(MOD(O451,60),"00"),"00:00")</x:f>
        <x:v>00:00</x:v>
      </x:c>
      <x:c r="K451" t="n">
        <x:f>ROUND((F451-C451-IF(OR(D451="",E451=""),0,E451-D451))*1440,0)</x:f>
        <x:v>444</x:v>
      </x:c>
      <x:c r="L451" t="n">
        <x:v>440</x:v>
      </x:c>
      <x:c r="M451" t="n">
        <x:f>K451-L451</x:f>
        <x:v>4</x:v>
      </x:c>
      <x:c r="N451" t="n">
        <x:f>MAX(0,M451)</x:f>
        <x:v>4</x:v>
      </x:c>
      <x:c r="O451" t="n">
        <x:f>MAX(0,-M451)</x:f>
        <x:v>0</x:v>
      </x:c>
      <x:c r="P451" t="str">
        <x:v>Ponto registrado — complemento ilustrativo</x:v>
      </x:c>
      <x:c r="Q451" t="str">
        <x:v>Saída da CONFERÊNCIA DE CAIXA; entrada/intervalo simulados</x:v>
      </x:c>
      <x:c r="R451" t="str">
        <x:v>2026-08</x:v>
      </x:c>
    </x:row>
    <x:row r="452" ht="21" customHeight="1">
      <x:c r="A452" s="83" t="n">
        <x:v>46240</x:v>
      </x:c>
      <x:c r="B452" t="str">
        <x:v>quinta-feira</x:v>
      </x:c>
      <x:c r="C452" s="85" t="n">
        <x:v>0.5451388888888888</x:v>
      </x:c>
      <x:c r="D452" s="85" t="n">
        <x:v>0.6777777777777778</x:v>
      </x:c>
      <x:c r="E452" s="85" t="n">
        <x:v>0.71875</x:v>
      </x:c>
      <x:c r="F452" s="85" t="n">
        <x:v>0.8888888888888888</x:v>
      </x:c>
      <x:c r="G452" t="str">
        <x:f>TEXT(INT(K452/60),"00")&amp;":"&amp;TEXT(MOD(K452,60),"00")</x:f>
        <x:v>07:16</x:v>
      </x:c>
      <x:c r="H452" t="str">
        <x:f>TEXT(INT(L452/60),"00")&amp;":"&amp;TEXT(MOD(L452,60),"00")</x:f>
        <x:v>07:20</x:v>
      </x:c>
      <x:c r="I452" t="str">
        <x:f>IF(N452&gt;0,"+"&amp;TEXT(INT(N452/60),"00")&amp;":"&amp;TEXT(MOD(N452,60),"00"),"00:00")</x:f>
        <x:v>00:00</x:v>
      </x:c>
      <x:c r="J452" t="str">
        <x:f>IF(O452&gt;0,"-"&amp;TEXT(INT(O452/60),"00")&amp;":"&amp;TEXT(MOD(O452,60),"00"),"00:00")</x:f>
        <x:v>-00:04</x:v>
      </x:c>
      <x:c r="K452" t="n">
        <x:f>ROUND((F452-C452-IF(OR(D452="",E452=""),0,E452-D452))*1440,0)</x:f>
        <x:v>436</x:v>
      </x:c>
      <x:c r="L452" t="n">
        <x:v>440</x:v>
      </x:c>
      <x:c r="M452" t="n">
        <x:f>K452-L452</x:f>
        <x:v>-4</x:v>
      </x:c>
      <x:c r="N452" t="n">
        <x:f>MAX(0,M452)</x:f>
        <x:v>0</x:v>
      </x:c>
      <x:c r="O452" t="n">
        <x:f>MAX(0,-M452)</x:f>
        <x:v>4</x:v>
      </x:c>
      <x:c r="P452" t="str">
        <x:v>Ponto registrado — complemento ilustrativo</x:v>
      </x:c>
      <x:c r="Q452" t="str">
        <x:v>Saída da CONFERÊNCIA DE CAIXA; entrada/intervalo simulados</x:v>
      </x:c>
      <x:c r="R452" t="str">
        <x:v>2026-08</x:v>
      </x:c>
    </x:row>
    <x:row r="453" ht="21" customHeight="1">
      <x:c r="A453" s="83" t="n">
        <x:v>46241</x:v>
      </x:c>
      <x:c r="B453" t="str">
        <x:v>sexta-feira</x:v>
      </x:c>
      <x:c r="C453" s="85" t="n">
        <x:v>0.54375</x:v>
      </x:c>
      <x:c r="D453" s="85" t="n">
        <x:v>0.6701388888888888</x:v>
      </x:c>
      <x:c r="E453" s="85" t="n">
        <x:v>0.7118055555555556</x:v>
      </x:c>
      <x:c r="F453" s="85" t="n">
        <x:v>0.8861111111111111</x:v>
      </x:c>
      <x:c r="G453" t="str">
        <x:f>TEXT(INT(K453/60),"00")&amp;":"&amp;TEXT(MOD(K453,60),"00")</x:f>
        <x:v>07:13</x:v>
      </x:c>
      <x:c r="H453" t="str">
        <x:f>TEXT(INT(L453/60),"00")&amp;":"&amp;TEXT(MOD(L453,60),"00")</x:f>
        <x:v>07:20</x:v>
      </x:c>
      <x:c r="I453" t="str">
        <x:f>IF(N453&gt;0,"+"&amp;TEXT(INT(N453/60),"00")&amp;":"&amp;TEXT(MOD(N453,60),"00"),"00:00")</x:f>
        <x:v>00:00</x:v>
      </x:c>
      <x:c r="J453" t="str">
        <x:f>IF(O453&gt;0,"-"&amp;TEXT(INT(O453/60),"00")&amp;":"&amp;TEXT(MOD(O453,60),"00"),"00:00")</x:f>
        <x:v>-00:07</x:v>
      </x:c>
      <x:c r="K453" t="n">
        <x:f>ROUND((F453-C453-IF(OR(D453="",E453=""),0,E453-D453))*1440,0)</x:f>
        <x:v>433</x:v>
      </x:c>
      <x:c r="L453" t="n">
        <x:v>440</x:v>
      </x:c>
      <x:c r="M453" t="n">
        <x:f>K453-L453</x:f>
        <x:v>-7</x:v>
      </x:c>
      <x:c r="N453" t="n">
        <x:f>MAX(0,M453)</x:f>
        <x:v>0</x:v>
      </x:c>
      <x:c r="O453" t="n">
        <x:f>MAX(0,-M453)</x:f>
        <x:v>7</x:v>
      </x:c>
      <x:c r="P453" t="str">
        <x:v>Ponto registrado — complemento ilustrativo</x:v>
      </x:c>
      <x:c r="Q453" t="str">
        <x:v>Saída da CONFERÊNCIA DE CAIXA; entrada/intervalo simulados</x:v>
      </x:c>
      <x:c r="R453" t="str">
        <x:v>2026-08</x:v>
      </x:c>
    </x:row>
    <x:row r="454" ht="21" customHeight="1">
      <x:c r="A454" s="83" t="n">
        <x:v>46242</x:v>
      </x:c>
      <x:c r="B454" t="str">
        <x:v>sábado</x:v>
      </x:c>
      <x:c r="C454" s="85" t="n">
        <x:v>0.54375</x:v>
      </x:c>
      <x:c r="D454" s="85"/>
      <x:c r="E454" s="85"/>
      <x:c r="F454" s="85" t="n">
        <x:v>0.7055555555555556</x:v>
      </x:c>
      <x:c r="G454" t="str">
        <x:f>TEXT(INT(K454/60),"00")&amp;":"&amp;TEXT(MOD(K454,60),"00")</x:f>
        <x:v>03:53</x:v>
      </x:c>
      <x:c r="H454" t="str">
        <x:f>TEXT(INT(L454/60),"00")&amp;":"&amp;TEXT(MOD(L454,60),"00")</x:f>
        <x:v>04:00</x:v>
      </x:c>
      <x:c r="I454" t="str">
        <x:f>IF(N454&gt;0,"+"&amp;TEXT(INT(N454/60),"00")&amp;":"&amp;TEXT(MOD(N454,60),"00"),"00:00")</x:f>
        <x:v>00:00</x:v>
      </x:c>
      <x:c r="J454" t="str">
        <x:f>IF(O454&gt;0,"-"&amp;TEXT(INT(O454/60),"00")&amp;":"&amp;TEXT(MOD(O454,60),"00"),"00:00")</x:f>
        <x:v>-00:07</x:v>
      </x:c>
      <x:c r="K454" t="n">
        <x:f>ROUND((F454-C454-IF(OR(D454="",E454=""),0,E454-D454))*1440,0)</x:f>
        <x:v>233</x:v>
      </x:c>
      <x:c r="L454" t="n">
        <x:v>240</x:v>
      </x:c>
      <x:c r="M454" t="n">
        <x:f>K454-L454</x:f>
        <x:v>-7</x:v>
      </x:c>
      <x:c r="N454" t="n">
        <x:f>MAX(0,M454)</x:f>
        <x:v>0</x:v>
      </x:c>
      <x:c r="O454" t="n">
        <x:f>MAX(0,-M454)</x:f>
        <x:v>7</x:v>
      </x:c>
      <x:c r="P454" t="str">
        <x:v>Ponto registrado — complemento ilustrativo</x:v>
      </x:c>
      <x:c r="Q454" t="str">
        <x:v>Saída da CONFERÊNCIA DE CAIXA; entrada/intervalo simulados</x:v>
      </x:c>
      <x:c r="R454" t="str">
        <x:v>2026-08</x:v>
      </x:c>
    </x:row>
    <x:row r="455" ht="21" customHeight="1">
      <x:c r="A455" s="83" t="n">
        <x:v>46244</x:v>
      </x:c>
      <x:c r="B455" t="str">
        <x:v>segunda-feira</x:v>
      </x:c>
      <x:c r="C455" s="85" t="n">
        <x:v>0.5472222222222223</x:v>
      </x:c>
      <x:c r="D455" s="85" t="n">
        <x:v>0.6673611111111111</x:v>
      </x:c>
      <x:c r="E455" s="85" t="n">
        <x:v>0.7111111111111111</x:v>
      </x:c>
      <x:c r="F455" s="85" t="n">
        <x:v>0.8902777777777777</x:v>
      </x:c>
      <x:c r="G455" t="str">
        <x:f>TEXT(INT(K455/60),"00")&amp;":"&amp;TEXT(MOD(K455,60),"00")</x:f>
        <x:v>07:11</x:v>
      </x:c>
      <x:c r="H455" t="str">
        <x:f>TEXT(INT(L455/60),"00")&amp;":"&amp;TEXT(MOD(L455,60),"00")</x:f>
        <x:v>07:20</x:v>
      </x:c>
      <x:c r="I455" t="str">
        <x:f>IF(N455&gt;0,"+"&amp;TEXT(INT(N455/60),"00")&amp;":"&amp;TEXT(MOD(N455,60),"00"),"00:00")</x:f>
        <x:v>00:00</x:v>
      </x:c>
      <x:c r="J455" t="str">
        <x:f>IF(O455&gt;0,"-"&amp;TEXT(INT(O455/60),"00")&amp;":"&amp;TEXT(MOD(O455,60),"00"),"00:00")</x:f>
        <x:v>-00:09</x:v>
      </x:c>
      <x:c r="K455" t="n">
        <x:f>ROUND((F455-C455-IF(OR(D455="",E455=""),0,E455-D455))*1440,0)</x:f>
        <x:v>431</x:v>
      </x:c>
      <x:c r="L455" t="n">
        <x:v>440</x:v>
      </x:c>
      <x:c r="M455" t="n">
        <x:f>K455-L455</x:f>
        <x:v>-9</x:v>
      </x:c>
      <x:c r="N455" t="n">
        <x:f>MAX(0,M455)</x:f>
        <x:v>0</x:v>
      </x:c>
      <x:c r="O455" t="n">
        <x:f>MAX(0,-M455)</x:f>
        <x:v>9</x:v>
      </x:c>
      <x:c r="P455" t="str">
        <x:v>Ponto registrado — complemento ilustrativo</x:v>
      </x:c>
      <x:c r="Q455" t="str">
        <x:v>Saída da CONFERÊNCIA DE CAIXA; entrada/intervalo simulados</x:v>
      </x:c>
      <x:c r="R455" t="str">
        <x:v>2026-08</x:v>
      </x:c>
    </x:row>
    <x:row r="456" ht="21" customHeight="1">
      <x:c r="A456" s="83" t="n">
        <x:v>46245</x:v>
      </x:c>
      <x:c r="B456" t="str">
        <x:v>terça-feira</x:v>
      </x:c>
      <x:c r="C456" s="85" t="n">
        <x:v>0.5409722222222222</x:v>
      </x:c>
      <x:c r="D456" s="85" t="n">
        <x:v>0.6743055555555556</x:v>
      </x:c>
      <x:c r="E456" s="85" t="n">
        <x:v>0.7166666666666667</x:v>
      </x:c>
      <x:c r="F456" s="85" t="n">
        <x:v>0.8895833333333333</x:v>
      </x:c>
      <x:c r="G456" t="str">
        <x:f>TEXT(INT(K456/60),"00")&amp;":"&amp;TEXT(MOD(K456,60),"00")</x:f>
        <x:v>07:21</x:v>
      </x:c>
      <x:c r="H456" t="str">
        <x:f>TEXT(INT(L456/60),"00")&amp;":"&amp;TEXT(MOD(L456,60),"00")</x:f>
        <x:v>07:20</x:v>
      </x:c>
      <x:c r="I456" t="str">
        <x:f>IF(N456&gt;0,"+"&amp;TEXT(INT(N456/60),"00")&amp;":"&amp;TEXT(MOD(N456,60),"00"),"00:00")</x:f>
        <x:v>+00:01</x:v>
      </x:c>
      <x:c r="J456" t="str">
        <x:f>IF(O456&gt;0,"-"&amp;TEXT(INT(O456/60),"00")&amp;":"&amp;TEXT(MOD(O456,60),"00"),"00:00")</x:f>
        <x:v>00:00</x:v>
      </x:c>
      <x:c r="K456" t="n">
        <x:f>ROUND((F456-C456-IF(OR(D456="",E456=""),0,E456-D456))*1440,0)</x:f>
        <x:v>441</x:v>
      </x:c>
      <x:c r="L456" t="n">
        <x:v>440</x:v>
      </x:c>
      <x:c r="M456" t="n">
        <x:f>K456-L456</x:f>
        <x:v>1</x:v>
      </x:c>
      <x:c r="N456" t="n">
        <x:f>MAX(0,M456)</x:f>
        <x:v>1</x:v>
      </x:c>
      <x:c r="O456" t="n">
        <x:f>MAX(0,-M456)</x:f>
        <x:v>0</x:v>
      </x:c>
      <x:c r="P456" t="str">
        <x:v>Ponto registrado — complemento ilustrativo</x:v>
      </x:c>
      <x:c r="Q456" t="str">
        <x:v>Saída da CONFERÊNCIA DE CAIXA; entrada/intervalo simulados</x:v>
      </x:c>
      <x:c r="R456" t="str">
        <x:v>2026-08</x:v>
      </x:c>
    </x:row>
    <x:row r="457" ht="21" customHeight="1">
      <x:c r="A457" s="83" t="n">
        <x:v>46246</x:v>
      </x:c>
      <x:c r="B457" t="str">
        <x:v>quarta-feira</x:v>
      </x:c>
      <x:c r="C457" s="85" t="n">
        <x:v>0.5472222222222223</x:v>
      </x:c>
      <x:c r="D457" s="85" t="n">
        <x:v>0.675</x:v>
      </x:c>
      <x:c r="E457" s="85" t="n">
        <x:v>0.7152777777777778</x:v>
      </x:c>
      <x:c r="F457" s="85" t="n">
        <x:v>0.8909722222222223</x:v>
      </x:c>
      <x:c r="G457" t="str">
        <x:f>TEXT(INT(K457/60),"00")&amp;":"&amp;TEXT(MOD(K457,60),"00")</x:f>
        <x:v>07:17</x:v>
      </x:c>
      <x:c r="H457" t="str">
        <x:f>TEXT(INT(L457/60),"00")&amp;":"&amp;TEXT(MOD(L457,60),"00")</x:f>
        <x:v>07:20</x:v>
      </x:c>
      <x:c r="I457" t="str">
        <x:f>IF(N457&gt;0,"+"&amp;TEXT(INT(N457/60),"00")&amp;":"&amp;TEXT(MOD(N457,60),"00"),"00:00")</x:f>
        <x:v>00:00</x:v>
      </x:c>
      <x:c r="J457" t="str">
        <x:f>IF(O457&gt;0,"-"&amp;TEXT(INT(O457/60),"00")&amp;":"&amp;TEXT(MOD(O457,60),"00"),"00:00")</x:f>
        <x:v>-00:03</x:v>
      </x:c>
      <x:c r="K457" t="n">
        <x:f>ROUND((F457-C457-IF(OR(D457="",E457=""),0,E457-D457))*1440,0)</x:f>
        <x:v>437</x:v>
      </x:c>
      <x:c r="L457" t="n">
        <x:v>440</x:v>
      </x:c>
      <x:c r="M457" t="n">
        <x:f>K457-L457</x:f>
        <x:v>-3</x:v>
      </x:c>
      <x:c r="N457" t="n">
        <x:f>MAX(0,M457)</x:f>
        <x:v>0</x:v>
      </x:c>
      <x:c r="O457" t="n">
        <x:f>MAX(0,-M457)</x:f>
        <x:v>3</x:v>
      </x:c>
      <x:c r="P457" t="str">
        <x:v>Ponto registrado — complemento ilustrativo</x:v>
      </x:c>
      <x:c r="Q457" t="str">
        <x:v>Saída da CONFERÊNCIA DE CAIXA; entrada/intervalo simulados</x:v>
      </x:c>
      <x:c r="R457" t="str">
        <x:v>2026-08</x:v>
      </x:c>
    </x:row>
    <x:row r="458" ht="21" customHeight="1">
      <x:c r="A458" s="83" t="n">
        <x:v>46247</x:v>
      </x:c>
      <x:c r="B458" t="str">
        <x:v>quinta-feira</x:v>
      </x:c>
      <x:c r="C458" s="85" t="n">
        <x:v>0.5416666666666666</x:v>
      </x:c>
      <x:c r="D458" s="85" t="n">
        <x:v>0.6798611111111111</x:v>
      </x:c>
      <x:c r="E458" s="85" t="n">
        <x:v>0.7215277777777778</x:v>
      </x:c>
      <x:c r="F458" s="85" t="n">
        <x:v>0.8888888888888888</x:v>
      </x:c>
      <x:c r="G458" t="str">
        <x:f>TEXT(INT(K458/60),"00")&amp;":"&amp;TEXT(MOD(K458,60),"00")</x:f>
        <x:v>07:20</x:v>
      </x:c>
      <x:c r="H458" t="str">
        <x:f>TEXT(INT(L458/60),"00")&amp;":"&amp;TEXT(MOD(L458,60),"00")</x:f>
        <x:v>07:20</x:v>
      </x:c>
      <x:c r="I458" t="str">
        <x:f>IF(N458&gt;0,"+"&amp;TEXT(INT(N458/60),"00")&amp;":"&amp;TEXT(MOD(N458,60),"00"),"00:00")</x:f>
        <x:v>00:00</x:v>
      </x:c>
      <x:c r="J458" t="str">
        <x:f>IF(O458&gt;0,"-"&amp;TEXT(INT(O458/60),"00")&amp;":"&amp;TEXT(MOD(O458,60),"00"),"00:00")</x:f>
        <x:v>00:00</x:v>
      </x:c>
      <x:c r="K458" t="n">
        <x:f>ROUND((F458-C458-IF(OR(D458="",E458=""),0,E458-D458))*1440,0)</x:f>
        <x:v>440</x:v>
      </x:c>
      <x:c r="L458" t="n">
        <x:v>440</x:v>
      </x:c>
      <x:c r="M458" t="n">
        <x:f>K458-L458</x:f>
        <x:v>0</x:v>
      </x:c>
      <x:c r="N458" t="n">
        <x:f>MAX(0,M458)</x:f>
        <x:v>0</x:v>
      </x:c>
      <x:c r="O458" t="n">
        <x:f>MAX(0,-M458)</x:f>
        <x:v>0</x:v>
      </x:c>
      <x:c r="P458" t="str">
        <x:v>Ponto registrado — complemento ilustrativo</x:v>
      </x:c>
      <x:c r="Q458" t="str">
        <x:v>Saída da CONFERÊNCIA DE CAIXA; entrada/intervalo simulados</x:v>
      </x:c>
      <x:c r="R458" t="str">
        <x:v>2026-08</x:v>
      </x:c>
    </x:row>
    <x:row r="459" ht="21" customHeight="1">
      <x:c r="A459" s="83" t="n">
        <x:v>46248</x:v>
      </x:c>
      <x:c r="B459" t="str">
        <x:v>sexta-feira</x:v>
      </x:c>
      <x:c r="C459" s="85" t="n">
        <x:v>0.5375</x:v>
      </x:c>
      <x:c r="D459" s="85" t="n">
        <x:v>0.6708333333333333</x:v>
      </x:c>
      <x:c r="E459" s="85" t="n">
        <x:v>0.7145833333333333</x:v>
      </x:c>
      <x:c r="F459" s="85" t="n">
        <x:v>0.88125</x:v>
      </x:c>
      <x:c r="G459" t="str">
        <x:f>TEXT(INT(K459/60),"00")&amp;":"&amp;TEXT(MOD(K459,60),"00")</x:f>
        <x:v>07:12</x:v>
      </x:c>
      <x:c r="H459" t="str">
        <x:f>TEXT(INT(L459/60),"00")&amp;":"&amp;TEXT(MOD(L459,60),"00")</x:f>
        <x:v>07:20</x:v>
      </x:c>
      <x:c r="I459" t="str">
        <x:f>IF(N459&gt;0,"+"&amp;TEXT(INT(N459/60),"00")&amp;":"&amp;TEXT(MOD(N459,60),"00"),"00:00")</x:f>
        <x:v>00:00</x:v>
      </x:c>
      <x:c r="J459" t="str">
        <x:f>IF(O459&gt;0,"-"&amp;TEXT(INT(O459/60),"00")&amp;":"&amp;TEXT(MOD(O459,60),"00"),"00:00")</x:f>
        <x:v>-00:08</x:v>
      </x:c>
      <x:c r="K459" t="n">
        <x:f>ROUND((F459-C459-IF(OR(D459="",E459=""),0,E459-D459))*1440,0)</x:f>
        <x:v>432</x:v>
      </x:c>
      <x:c r="L459" t="n">
        <x:v>440</x:v>
      </x:c>
      <x:c r="M459" t="n">
        <x:f>K459-L459</x:f>
        <x:v>-8</x:v>
      </x:c>
      <x:c r="N459" t="n">
        <x:f>MAX(0,M459)</x:f>
        <x:v>0</x:v>
      </x:c>
      <x:c r="O459" t="n">
        <x:f>MAX(0,-M459)</x:f>
        <x:v>8</x:v>
      </x:c>
      <x:c r="P459" t="str">
        <x:v>Ponto registrado — complemento ilustrativo</x:v>
      </x:c>
      <x:c r="Q459" t="str">
        <x:v>Saída da CONFERÊNCIA DE CAIXA; entrada/intervalo simulados</x:v>
      </x:c>
      <x:c r="R459" t="str">
        <x:v>2026-08</x:v>
      </x:c>
    </x:row>
    <x:row r="460" ht="21" customHeight="1">
      <x:c r="A460" s="83" t="n">
        <x:v>46249</x:v>
      </x:c>
      <x:c r="B460" t="str">
        <x:v>sábado</x:v>
      </x:c>
      <x:c r="C460" s="85" t="n">
        <x:v>0.5409722222222222</x:v>
      </x:c>
      <x:c r="D460" s="85"/>
      <x:c r="E460" s="85"/>
      <x:c r="F460" s="85" t="n">
        <x:v>0.7055555555555556</x:v>
      </x:c>
      <x:c r="G460" t="str">
        <x:f>TEXT(INT(K460/60),"00")&amp;":"&amp;TEXT(MOD(K460,60),"00")</x:f>
        <x:v>03:57</x:v>
      </x:c>
      <x:c r="H460" t="str">
        <x:f>TEXT(INT(L460/60),"00")&amp;":"&amp;TEXT(MOD(L460,60),"00")</x:f>
        <x:v>04:00</x:v>
      </x:c>
      <x:c r="I460" t="str">
        <x:f>IF(N460&gt;0,"+"&amp;TEXT(INT(N460/60),"00")&amp;":"&amp;TEXT(MOD(N460,60),"00"),"00:00")</x:f>
        <x:v>00:00</x:v>
      </x:c>
      <x:c r="J460" t="str">
        <x:f>IF(O460&gt;0,"-"&amp;TEXT(INT(O460/60),"00")&amp;":"&amp;TEXT(MOD(O460,60),"00"),"00:00")</x:f>
        <x:v>-00:03</x:v>
      </x:c>
      <x:c r="K460" t="n">
        <x:f>ROUND((F460-C460-IF(OR(D460="",E460=""),0,E460-D460))*1440,0)</x:f>
        <x:v>237</x:v>
      </x:c>
      <x:c r="L460" t="n">
        <x:v>240</x:v>
      </x:c>
      <x:c r="M460" t="n">
        <x:f>K460-L460</x:f>
        <x:v>-3</x:v>
      </x:c>
      <x:c r="N460" t="n">
        <x:f>MAX(0,M460)</x:f>
        <x:v>0</x:v>
      </x:c>
      <x:c r="O460" t="n">
        <x:f>MAX(0,-M460)</x:f>
        <x:v>3</x:v>
      </x:c>
      <x:c r="P460" t="str">
        <x:v>Ponto registrado — jornada revisada</x:v>
      </x:c>
      <x:c r="Q460" t="str">
        <x:v>Horários da planilha de jornadas revisada</x:v>
      </x:c>
      <x:c r="R460" t="str">
        <x:v>2026-08</x:v>
      </x:c>
    </x:row>
    <x:row r="461" ht="21" customHeight="1">
      <x:c r="A461" s="83" t="n">
        <x:v>46251</x:v>
      </x:c>
      <x:c r="B461" t="str">
        <x:v>segunda-feira</x:v>
      </x:c>
      <x:c r="C461" s="85" t="n">
        <x:v>0.54375</x:v>
      </x:c>
      <x:c r="D461" s="85" t="n">
        <x:v>0.6840277777777778</x:v>
      </x:c>
      <x:c r="E461" s="85" t="n">
        <x:v>0.7243055555555555</x:v>
      </x:c>
      <x:c r="F461" s="85" t="n">
        <x:v>0.8888888888888888</x:v>
      </x:c>
      <x:c r="G461" t="str">
        <x:f>TEXT(INT(K461/60),"00")&amp;":"&amp;TEXT(MOD(K461,60),"00")</x:f>
        <x:v>07:19</x:v>
      </x:c>
      <x:c r="H461" t="str">
        <x:f>TEXT(INT(L461/60),"00")&amp;":"&amp;TEXT(MOD(L461,60),"00")</x:f>
        <x:v>07:20</x:v>
      </x:c>
      <x:c r="I461" t="str">
        <x:f>IF(N461&gt;0,"+"&amp;TEXT(INT(N461/60),"00")&amp;":"&amp;TEXT(MOD(N461,60),"00"),"00:00")</x:f>
        <x:v>00:00</x:v>
      </x:c>
      <x:c r="J461" t="str">
        <x:f>IF(O461&gt;0,"-"&amp;TEXT(INT(O461/60),"00")&amp;":"&amp;TEXT(MOD(O461,60),"00"),"00:00")</x:f>
        <x:v>-00:01</x:v>
      </x:c>
      <x:c r="K461" t="n">
        <x:f>ROUND((F461-C461-IF(OR(D461="",E461=""),0,E461-D461))*1440,0)</x:f>
        <x:v>439</x:v>
      </x:c>
      <x:c r="L461" t="n">
        <x:v>440</x:v>
      </x:c>
      <x:c r="M461" t="n">
        <x:f>K461-L461</x:f>
        <x:v>-1</x:v>
      </x:c>
      <x:c r="N461" t="n">
        <x:f>MAX(0,M461)</x:f>
        <x:v>0</x:v>
      </x:c>
      <x:c r="O461" t="n">
        <x:f>MAX(0,-M461)</x:f>
        <x:v>1</x:v>
      </x:c>
      <x:c r="P461" t="str">
        <x:v>Ponto registrado — jornada revisada</x:v>
      </x:c>
      <x:c r="Q461" t="str">
        <x:v>Horários da planilha de jornadas revisada</x:v>
      </x:c>
      <x:c r="R461" t="str">
        <x:v>2026-08</x:v>
      </x:c>
    </x:row>
    <x:row r="462" ht="21" customHeight="1">
      <x:c r="A462" s="83" t="n">
        <x:v>46252</x:v>
      </x:c>
      <x:c r="B462" t="str">
        <x:v>terça-feira</x:v>
      </x:c>
      <x:c r="C462" s="85" t="n">
        <x:v>0.54375</x:v>
      </x:c>
      <x:c r="D462" s="85" t="n">
        <x:v>0.6791666666666667</x:v>
      </x:c>
      <x:c r="E462" s="85" t="n">
        <x:v>0.71875</x:v>
      </x:c>
      <x:c r="F462" s="85" t="n">
        <x:v>0.8888888888888888</x:v>
      </x:c>
      <x:c r="G462" t="str">
        <x:f>TEXT(INT(K462/60),"00")&amp;":"&amp;TEXT(MOD(K462,60),"00")</x:f>
        <x:v>07:20</x:v>
      </x:c>
      <x:c r="H462" t="str">
        <x:f>TEXT(INT(L462/60),"00")&amp;":"&amp;TEXT(MOD(L462,60),"00")</x:f>
        <x:v>07:20</x:v>
      </x:c>
      <x:c r="I462" t="str">
        <x:f>IF(N462&gt;0,"+"&amp;TEXT(INT(N462/60),"00")&amp;":"&amp;TEXT(MOD(N462,60),"00"),"00:00")</x:f>
        <x:v>00:00</x:v>
      </x:c>
      <x:c r="J462" t="str">
        <x:f>IF(O462&gt;0,"-"&amp;TEXT(INT(O462/60),"00")&amp;":"&amp;TEXT(MOD(O462,60),"00"),"00:00")</x:f>
        <x:v>00:00</x:v>
      </x:c>
      <x:c r="K462" t="n">
        <x:f>ROUND((F462-C462-IF(OR(D462="",E462=""),0,E462-D462))*1440,0)</x:f>
        <x:v>440</x:v>
      </x:c>
      <x:c r="L462" t="n">
        <x:v>440</x:v>
      </x:c>
      <x:c r="M462" t="n">
        <x:f>K462-L462</x:f>
        <x:v>0</x:v>
      </x:c>
      <x:c r="N462" t="n">
        <x:f>MAX(0,M462)</x:f>
        <x:v>0</x:v>
      </x:c>
      <x:c r="O462" t="n">
        <x:f>MAX(0,-M462)</x:f>
        <x:v>0</x:v>
      </x:c>
      <x:c r="P462" t="str">
        <x:v>Ponto registrado — complemento ilustrativo</x:v>
      </x:c>
      <x:c r="Q462" t="str">
        <x:v>Saída da CONFERÊNCIA DE CAIXA; entrada/intervalo simulados</x:v>
      </x:c>
      <x:c r="R462" t="str">
        <x:v>2026-08</x:v>
      </x:c>
    </x:row>
    <x:row r="463" ht="21" customHeight="1">
      <x:c r="A463" s="83" t="n">
        <x:v>46253</x:v>
      </x:c>
      <x:c r="B463" t="str">
        <x:v>quarta-feira</x:v>
      </x:c>
      <x:c r="C463" s="85" t="n">
        <x:v>0.5451388888888888</x:v>
      </x:c>
      <x:c r="D463" s="85" t="n">
        <x:v>0.6736111111111112</x:v>
      </x:c>
      <x:c r="E463" s="85" t="n">
        <x:v>0.7152777777777778</x:v>
      </x:c>
      <x:c r="F463" s="85" t="n">
        <x:v>0.8909722222222223</x:v>
      </x:c>
      <x:c r="G463" t="str">
        <x:f>TEXT(INT(K463/60),"00")&amp;":"&amp;TEXT(MOD(K463,60),"00")</x:f>
        <x:v>07:18</x:v>
      </x:c>
      <x:c r="H463" t="str">
        <x:f>TEXT(INT(L463/60),"00")&amp;":"&amp;TEXT(MOD(L463,60),"00")</x:f>
        <x:v>07:20</x:v>
      </x:c>
      <x:c r="I463" t="str">
        <x:f>IF(N463&gt;0,"+"&amp;TEXT(INT(N463/60),"00")&amp;":"&amp;TEXT(MOD(N463,60),"00"),"00:00")</x:f>
        <x:v>00:00</x:v>
      </x:c>
      <x:c r="J463" t="str">
        <x:f>IF(O463&gt;0,"-"&amp;TEXT(INT(O463/60),"00")&amp;":"&amp;TEXT(MOD(O463,60),"00"),"00:00")</x:f>
        <x:v>-00:02</x:v>
      </x:c>
      <x:c r="K463" t="n">
        <x:f>ROUND((F463-C463-IF(OR(D463="",E463=""),0,E463-D463))*1440,0)</x:f>
        <x:v>438</x:v>
      </x:c>
      <x:c r="L463" t="n">
        <x:v>440</x:v>
      </x:c>
      <x:c r="M463" t="n">
        <x:f>K463-L463</x:f>
        <x:v>-2</x:v>
      </x:c>
      <x:c r="N463" t="n">
        <x:f>MAX(0,M463)</x:f>
        <x:v>0</x:v>
      </x:c>
      <x:c r="O463" t="n">
        <x:f>MAX(0,-M463)</x:f>
        <x:v>2</x:v>
      </x:c>
      <x:c r="P463" t="str">
        <x:v>Ponto registrado — complemento ilustrativo</x:v>
      </x:c>
      <x:c r="Q463" t="str">
        <x:v>Saída da CONFERÊNCIA DE CAIXA; entrada/intervalo simulados</x:v>
      </x:c>
      <x:c r="R463" t="str">
        <x:v>2026-08</x:v>
      </x:c>
    </x:row>
    <x:row r="464" ht="21" customHeight="1">
      <x:c r="A464" s="83" t="n">
        <x:v>46254</x:v>
      </x:c>
      <x:c r="B464" t="str">
        <x:v>quinta-feira</x:v>
      </x:c>
      <x:c r="C464" s="85" t="n">
        <x:v>0.5402777777777777</x:v>
      </x:c>
      <x:c r="D464" s="85" t="n">
        <x:v>0.6673611111111111</x:v>
      </x:c>
      <x:c r="E464" s="85" t="n">
        <x:v>0.7083333333333334</x:v>
      </x:c>
      <x:c r="F464" s="85" t="n">
        <x:v>0.8909722222222223</x:v>
      </x:c>
      <x:c r="G464" t="str">
        <x:f>TEXT(INT(K464/60),"00")&amp;":"&amp;TEXT(MOD(K464,60),"00")</x:f>
        <x:v>07:26</x:v>
      </x:c>
      <x:c r="H464" t="str">
        <x:f>TEXT(INT(L464/60),"00")&amp;":"&amp;TEXT(MOD(L464,60),"00")</x:f>
        <x:v>07:20</x:v>
      </x:c>
      <x:c r="I464" t="str">
        <x:f>IF(N464&gt;0,"+"&amp;TEXT(INT(N464/60),"00")&amp;":"&amp;TEXT(MOD(N464,60),"00"),"00:00")</x:f>
        <x:v>+00:06</x:v>
      </x:c>
      <x:c r="J464" t="str">
        <x:f>IF(O464&gt;0,"-"&amp;TEXT(INT(O464/60),"00")&amp;":"&amp;TEXT(MOD(O464,60),"00"),"00:00")</x:f>
        <x:v>00:00</x:v>
      </x:c>
      <x:c r="K464" t="n">
        <x:f>ROUND((F464-C464-IF(OR(D464="",E464=""),0,E464-D464))*1440,0)</x:f>
        <x:v>446</x:v>
      </x:c>
      <x:c r="L464" t="n">
        <x:v>440</x:v>
      </x:c>
      <x:c r="M464" t="n">
        <x:f>K464-L464</x:f>
        <x:v>6</x:v>
      </x:c>
      <x:c r="N464" t="n">
        <x:f>MAX(0,M464)</x:f>
        <x:v>6</x:v>
      </x:c>
      <x:c r="O464" t="n">
        <x:f>MAX(0,-M464)</x:f>
        <x:v>0</x:v>
      </x:c>
      <x:c r="P464" t="str">
        <x:v>Ponto registrado — complemento ilustrativo</x:v>
      </x:c>
      <x:c r="Q464" t="str">
        <x:v>Saída da CONFERÊNCIA DE CAIXA; entrada/intervalo simulados</x:v>
      </x:c>
      <x:c r="R464" t="str">
        <x:v>2026-08</x:v>
      </x:c>
    </x:row>
    <x:row r="465" ht="21" customHeight="1">
      <x:c r="A465" s="83" t="n">
        <x:v>46255</x:v>
      </x:c>
      <x:c r="B465" t="str">
        <x:v>sexta-feira</x:v>
      </x:c>
      <x:c r="C465" s="85" t="n">
        <x:v>0.54375</x:v>
      </x:c>
      <x:c r="D465" s="85" t="n">
        <x:v>0.6909722222222222</x:v>
      </x:c>
      <x:c r="E465" s="85" t="n">
        <x:v>0.7361111111111112</x:v>
      </x:c>
      <x:c r="F465" s="85" t="n">
        <x:v>0.8888888888888888</x:v>
      </x:c>
      <x:c r="G465" t="str">
        <x:f>TEXT(INT(K465/60),"00")&amp;":"&amp;TEXT(MOD(K465,60),"00")</x:f>
        <x:v>07:12</x:v>
      </x:c>
      <x:c r="H465" t="str">
        <x:f>TEXT(INT(L465/60),"00")&amp;":"&amp;TEXT(MOD(L465,60),"00")</x:f>
        <x:v>07:20</x:v>
      </x:c>
      <x:c r="I465" t="str">
        <x:f>IF(N465&gt;0,"+"&amp;TEXT(INT(N465/60),"00")&amp;":"&amp;TEXT(MOD(N465,60),"00"),"00:00")</x:f>
        <x:v>00:00</x:v>
      </x:c>
      <x:c r="J465" t="str">
        <x:f>IF(O465&gt;0,"-"&amp;TEXT(INT(O465/60),"00")&amp;":"&amp;TEXT(MOD(O465,60),"00"),"00:00")</x:f>
        <x:v>-00:08</x:v>
      </x:c>
      <x:c r="K465" t="n">
        <x:f>ROUND((F465-C465-IF(OR(D465="",E465=""),0,E465-D465))*1440,0)</x:f>
        <x:v>432</x:v>
      </x:c>
      <x:c r="L465" t="n">
        <x:v>440</x:v>
      </x:c>
      <x:c r="M465" t="n">
        <x:f>K465-L465</x:f>
        <x:v>-8</x:v>
      </x:c>
      <x:c r="N465" t="n">
        <x:f>MAX(0,M465)</x:f>
        <x:v>0</x:v>
      </x:c>
      <x:c r="O465" t="n">
        <x:f>MAX(0,-M465)</x:f>
        <x:v>8</x:v>
      </x:c>
      <x:c r="P465" t="str">
        <x:v>Ponto registrado — jornada revisada</x:v>
      </x:c>
      <x:c r="Q465" t="str">
        <x:v>Horários da planilha de jornadas revisada</x:v>
      </x:c>
      <x:c r="R465" t="str">
        <x:v>2026-08</x:v>
      </x:c>
    </x:row>
    <x:row r="466" ht="21" customHeight="1">
      <x:c r="A466" s="83" t="n">
        <x:v>46256</x:v>
      </x:c>
      <x:c r="B466" t="str">
        <x:v>sábado</x:v>
      </x:c>
      <x:c r="C466" s="85" t="n">
        <x:v>0.5388888888888889</x:v>
      </x:c>
      <x:c r="D466" s="85"/>
      <x:c r="E466" s="85"/>
      <x:c r="F466" s="85" t="n">
        <x:v>0.7027777777777777</x:v>
      </x:c>
      <x:c r="G466" t="str">
        <x:f>TEXT(INT(K466/60),"00")&amp;":"&amp;TEXT(MOD(K466,60),"00")</x:f>
        <x:v>03:56</x:v>
      </x:c>
      <x:c r="H466" t="str">
        <x:f>TEXT(INT(L466/60),"00")&amp;":"&amp;TEXT(MOD(L466,60),"00")</x:f>
        <x:v>04:00</x:v>
      </x:c>
      <x:c r="I466" t="str">
        <x:f>IF(N466&gt;0,"+"&amp;TEXT(INT(N466/60),"00")&amp;":"&amp;TEXT(MOD(N466,60),"00"),"00:00")</x:f>
        <x:v>00:00</x:v>
      </x:c>
      <x:c r="J466" t="str">
        <x:f>IF(O466&gt;0,"-"&amp;TEXT(INT(O466/60),"00")&amp;":"&amp;TEXT(MOD(O466,60),"00"),"00:00")</x:f>
        <x:v>-00:04</x:v>
      </x:c>
      <x:c r="K466" t="n">
        <x:f>ROUND((F466-C466-IF(OR(D466="",E466=""),0,E466-D466))*1440,0)</x:f>
        <x:v>236</x:v>
      </x:c>
      <x:c r="L466" t="n">
        <x:v>240</x:v>
      </x:c>
      <x:c r="M466" t="n">
        <x:f>K466-L466</x:f>
        <x:v>-4</x:v>
      </x:c>
      <x:c r="N466" t="n">
        <x:f>MAX(0,M466)</x:f>
        <x:v>0</x:v>
      </x:c>
      <x:c r="O466" t="n">
        <x:f>MAX(0,-M466)</x:f>
        <x:v>4</x:v>
      </x:c>
      <x:c r="P466" t="str">
        <x:v>Ponto registrado — complemento ilustrativo</x:v>
      </x:c>
      <x:c r="Q466" t="str">
        <x:v>Saída da CONFERÊNCIA DE CAIXA; entrada/intervalo simulados</x:v>
      </x:c>
      <x:c r="R466" t="str">
        <x:v>2026-08</x:v>
      </x:c>
    </x:row>
    <x:row r="467" ht="21" customHeight="1">
      <x:c r="A467" s="83" t="n">
        <x:v>46258</x:v>
      </x:c>
      <x:c r="B467" t="str">
        <x:v>segunda-feira</x:v>
      </x:c>
      <x:c r="C467" s="85" t="n">
        <x:v>0.5444444444444444</x:v>
      </x:c>
      <x:c r="D467" s="85" t="n">
        <x:v>0.6715277777777777</x:v>
      </x:c>
      <x:c r="E467" s="85" t="n">
        <x:v>0.7118055555555556</x:v>
      </x:c>
      <x:c r="F467" s="85" t="n">
        <x:v>0.8888888888888888</x:v>
      </x:c>
      <x:c r="G467" t="str">
        <x:f>TEXT(INT(K467/60),"00")&amp;":"&amp;TEXT(MOD(K467,60),"00")</x:f>
        <x:v>07:18</x:v>
      </x:c>
      <x:c r="H467" t="str">
        <x:f>TEXT(INT(L467/60),"00")&amp;":"&amp;TEXT(MOD(L467,60),"00")</x:f>
        <x:v>07:20</x:v>
      </x:c>
      <x:c r="I467" t="str">
        <x:f>IF(N467&gt;0,"+"&amp;TEXT(INT(N467/60),"00")&amp;":"&amp;TEXT(MOD(N467,60),"00"),"00:00")</x:f>
        <x:v>00:00</x:v>
      </x:c>
      <x:c r="J467" t="str">
        <x:f>IF(O467&gt;0,"-"&amp;TEXT(INT(O467/60),"00")&amp;":"&amp;TEXT(MOD(O467,60),"00"),"00:00")</x:f>
        <x:v>-00:02</x:v>
      </x:c>
      <x:c r="K467" t="n">
        <x:f>ROUND((F467-C467-IF(OR(D467="",E467=""),0,E467-D467))*1440,0)</x:f>
        <x:v>438</x:v>
      </x:c>
      <x:c r="L467" t="n">
        <x:v>440</x:v>
      </x:c>
      <x:c r="M467" t="n">
        <x:f>K467-L467</x:f>
        <x:v>-2</x:v>
      </x:c>
      <x:c r="N467" t="n">
        <x:f>MAX(0,M467)</x:f>
        <x:v>0</x:v>
      </x:c>
      <x:c r="O467" t="n">
        <x:f>MAX(0,-M467)</x:f>
        <x:v>2</x:v>
      </x:c>
      <x:c r="P467" t="str">
        <x:v>Ponto registrado — complemento ilustrativo</x:v>
      </x:c>
      <x:c r="Q467" t="str">
        <x:v>Saída da CONFERÊNCIA DE CAIXA; entrada/intervalo simulados</x:v>
      </x:c>
      <x:c r="R467" t="str">
        <x:v>2026-08</x:v>
      </x:c>
    </x:row>
    <x:row r="468" ht="21" customHeight="1">
      <x:c r="A468" s="83" t="n">
        <x:v>46259</x:v>
      </x:c>
      <x:c r="B468" t="str">
        <x:v>terça-feira</x:v>
      </x:c>
      <x:c r="C468" s="85" t="n">
        <x:v>0.5423611111111111</x:v>
      </x:c>
      <x:c r="D468" s="85" t="n">
        <x:v>0.6701388888888888</x:v>
      </x:c>
      <x:c r="E468" s="85" t="n">
        <x:v>0.7090277777777778</x:v>
      </x:c>
      <x:c r="F468" s="85" t="n">
        <x:v>0.8895833333333333</x:v>
      </x:c>
      <x:c r="G468" t="str">
        <x:f>TEXT(INT(K468/60),"00")&amp;":"&amp;TEXT(MOD(K468,60),"00")</x:f>
        <x:v>07:24</x:v>
      </x:c>
      <x:c r="H468" t="str">
        <x:f>TEXT(INT(L468/60),"00")&amp;":"&amp;TEXT(MOD(L468,60),"00")</x:f>
        <x:v>07:20</x:v>
      </x:c>
      <x:c r="I468" t="str">
        <x:f>IF(N468&gt;0,"+"&amp;TEXT(INT(N468/60),"00")&amp;":"&amp;TEXT(MOD(N468,60),"00"),"00:00")</x:f>
        <x:v>+00:04</x:v>
      </x:c>
      <x:c r="J468" t="str">
        <x:f>IF(O468&gt;0,"-"&amp;TEXT(INT(O468/60),"00")&amp;":"&amp;TEXT(MOD(O468,60),"00"),"00:00")</x:f>
        <x:v>00:00</x:v>
      </x:c>
      <x:c r="K468" t="n">
        <x:f>ROUND((F468-C468-IF(OR(D468="",E468=""),0,E468-D468))*1440,0)</x:f>
        <x:v>444</x:v>
      </x:c>
      <x:c r="L468" t="n">
        <x:v>440</x:v>
      </x:c>
      <x:c r="M468" t="n">
        <x:f>K468-L468</x:f>
        <x:v>4</x:v>
      </x:c>
      <x:c r="N468" t="n">
        <x:f>MAX(0,M468)</x:f>
        <x:v>4</x:v>
      </x:c>
      <x:c r="O468" t="n">
        <x:f>MAX(0,-M468)</x:f>
        <x:v>0</x:v>
      </x:c>
      <x:c r="P468" t="str">
        <x:v>Ponto registrado — complemento ilustrativo</x:v>
      </x:c>
      <x:c r="Q468" t="str">
        <x:v>Saída da CONFERÊNCIA DE CAIXA; entrada/intervalo simulados</x:v>
      </x:c>
      <x:c r="R468" t="str">
        <x:v>2026-08</x:v>
      </x:c>
    </x:row>
    <x:row r="469" ht="21" customHeight="1">
      <x:c r="A469" s="83" t="n">
        <x:v>46260</x:v>
      </x:c>
      <x:c r="B469" t="str">
        <x:v>quarta-feira</x:v>
      </x:c>
      <x:c r="C469" s="85" t="n">
        <x:v>0.5472222222222223</x:v>
      </x:c>
      <x:c r="D469" s="85" t="n">
        <x:v>0.6770833333333334</x:v>
      </x:c>
      <x:c r="E469" s="85" t="n">
        <x:v>0.7173611111111111</x:v>
      </x:c>
      <x:c r="F469" s="85" t="n">
        <x:v>0.8902777777777777</x:v>
      </x:c>
      <x:c r="G469" t="str">
        <x:f>TEXT(INT(K469/60),"00")&amp;":"&amp;TEXT(MOD(K469,60),"00")</x:f>
        <x:v>07:16</x:v>
      </x:c>
      <x:c r="H469" t="str">
        <x:f>TEXT(INT(L469/60),"00")&amp;":"&amp;TEXT(MOD(L469,60),"00")</x:f>
        <x:v>07:20</x:v>
      </x:c>
      <x:c r="I469" t="str">
        <x:f>IF(N469&gt;0,"+"&amp;TEXT(INT(N469/60),"00")&amp;":"&amp;TEXT(MOD(N469,60),"00"),"00:00")</x:f>
        <x:v>00:00</x:v>
      </x:c>
      <x:c r="J469" t="str">
        <x:f>IF(O469&gt;0,"-"&amp;TEXT(INT(O469/60),"00")&amp;":"&amp;TEXT(MOD(O469,60),"00"),"00:00")</x:f>
        <x:v>-00:04</x:v>
      </x:c>
      <x:c r="K469" t="n">
        <x:f>ROUND((F469-C469-IF(OR(D469="",E469=""),0,E469-D469))*1440,0)</x:f>
        <x:v>436</x:v>
      </x:c>
      <x:c r="L469" t="n">
        <x:v>440</x:v>
      </x:c>
      <x:c r="M469" t="n">
        <x:f>K469-L469</x:f>
        <x:v>-4</x:v>
      </x:c>
      <x:c r="N469" t="n">
        <x:f>MAX(0,M469)</x:f>
        <x:v>0</x:v>
      </x:c>
      <x:c r="O469" t="n">
        <x:f>MAX(0,-M469)</x:f>
        <x:v>4</x:v>
      </x:c>
      <x:c r="P469" t="str">
        <x:v>Ponto registrado — complemento ilustrativo</x:v>
      </x:c>
      <x:c r="Q469" t="str">
        <x:v>Saída da CONFERÊNCIA DE CAIXA; entrada/intervalo simulados</x:v>
      </x:c>
      <x:c r="R469" t="str">
        <x:v>2026-08</x:v>
      </x:c>
    </x:row>
    <x:row r="470" ht="21" customHeight="1">
      <x:c r="A470" s="83" t="n">
        <x:v>46261</x:v>
      </x:c>
      <x:c r="B470" t="str">
        <x:v>quinta-feira</x:v>
      </x:c>
      <x:c r="C470" s="85" t="n">
        <x:v>0.5388888888888889</x:v>
      </x:c>
      <x:c r="D470" s="85" t="n">
        <x:v>0.6736111111111112</x:v>
      </x:c>
      <x:c r="E470" s="85" t="n">
        <x:v>0.7173611111111111</x:v>
      </x:c>
      <x:c r="F470" s="85" t="n">
        <x:v>0.8902777777777777</x:v>
      </x:c>
      <x:c r="G470" t="str">
        <x:f>TEXT(INT(K470/60),"00")&amp;":"&amp;TEXT(MOD(K470,60),"00")</x:f>
        <x:v>07:23</x:v>
      </x:c>
      <x:c r="H470" t="str">
        <x:f>TEXT(INT(L470/60),"00")&amp;":"&amp;TEXT(MOD(L470,60),"00")</x:f>
        <x:v>07:20</x:v>
      </x:c>
      <x:c r="I470" t="str">
        <x:f>IF(N470&gt;0,"+"&amp;TEXT(INT(N470/60),"00")&amp;":"&amp;TEXT(MOD(N470,60),"00"),"00:00")</x:f>
        <x:v>+00:03</x:v>
      </x:c>
      <x:c r="J470" t="str">
        <x:f>IF(O470&gt;0,"-"&amp;TEXT(INT(O470/60),"00")&amp;":"&amp;TEXT(MOD(O470,60),"00"),"00:00")</x:f>
        <x:v>00:00</x:v>
      </x:c>
      <x:c r="K470" t="n">
        <x:f>ROUND((F470-C470-IF(OR(D470="",E470=""),0,E470-D470))*1440,0)</x:f>
        <x:v>443</x:v>
      </x:c>
      <x:c r="L470" t="n">
        <x:v>440</x:v>
      </x:c>
      <x:c r="M470" t="n">
        <x:f>K470-L470</x:f>
        <x:v>3</x:v>
      </x:c>
      <x:c r="N470" t="n">
        <x:f>MAX(0,M470)</x:f>
        <x:v>3</x:v>
      </x:c>
      <x:c r="O470" t="n">
        <x:f>MAX(0,-M470)</x:f>
        <x:v>0</x:v>
      </x:c>
      <x:c r="P470" t="str">
        <x:v>Ponto registrado — complemento ilustrativo</x:v>
      </x:c>
      <x:c r="Q470" t="str">
        <x:v>Saída da CONFERÊNCIA DE CAIXA; entrada/intervalo simulados</x:v>
      </x:c>
      <x:c r="R470" t="str">
        <x:v>2026-08</x:v>
      </x:c>
    </x:row>
    <x:row r="471" ht="21" customHeight="1">
      <x:c r="A471" s="83" t="n">
        <x:v>46262</x:v>
      </x:c>
      <x:c r="B471" t="str">
        <x:v>sexta-feira</x:v>
      </x:c>
      <x:c r="C471" s="85" t="n">
        <x:v>0.5458333333333333</x:v>
      </x:c>
      <x:c r="D471" s="85" t="n">
        <x:v>0.66875</x:v>
      </x:c>
      <x:c r="E471" s="85" t="n">
        <x:v>0.7090277777777778</x:v>
      </x:c>
      <x:c r="F471" s="85" t="n">
        <x:v>0.8833333333333333</x:v>
      </x:c>
      <x:c r="G471" t="str">
        <x:f>TEXT(INT(K471/60),"00")&amp;":"&amp;TEXT(MOD(K471,60),"00")</x:f>
        <x:v>07:08</x:v>
      </x:c>
      <x:c r="H471" t="str">
        <x:f>TEXT(INT(L471/60),"00")&amp;":"&amp;TEXT(MOD(L471,60),"00")</x:f>
        <x:v>07:20</x:v>
      </x:c>
      <x:c r="I471" t="str">
        <x:f>IF(N471&gt;0,"+"&amp;TEXT(INT(N471/60),"00")&amp;":"&amp;TEXT(MOD(N471,60),"00"),"00:00")</x:f>
        <x:v>00:00</x:v>
      </x:c>
      <x:c r="J471" t="str">
        <x:f>IF(O471&gt;0,"-"&amp;TEXT(INT(O471/60),"00")&amp;":"&amp;TEXT(MOD(O471,60),"00"),"00:00")</x:f>
        <x:v>-00:12</x:v>
      </x:c>
      <x:c r="K471" t="n">
        <x:f>ROUND((F471-C471-IF(OR(D471="",E471=""),0,E471-D471))*1440,0)</x:f>
        <x:v>428</x:v>
      </x:c>
      <x:c r="L471" t="n">
        <x:v>440</x:v>
      </x:c>
      <x:c r="M471" t="n">
        <x:f>K471-L471</x:f>
        <x:v>-12</x:v>
      </x:c>
      <x:c r="N471" t="n">
        <x:f>MAX(0,M471)</x:f>
        <x:v>0</x:v>
      </x:c>
      <x:c r="O471" t="n">
        <x:f>MAX(0,-M471)</x:f>
        <x:v>12</x:v>
      </x:c>
      <x:c r="P471" t="str">
        <x:v>Ponto registrado — complemento ilustrativo</x:v>
      </x:c>
      <x:c r="Q471" t="str">
        <x:v>Saída da CONFERÊNCIA DE CAIXA; entrada/intervalo simulados</x:v>
      </x:c>
      <x:c r="R471" t="str">
        <x:v>2026-08</x:v>
      </x:c>
    </x:row>
    <x:row r="472" ht="21" customHeight="1">
      <x:c r="A472" s="83" t="n">
        <x:v>46263</x:v>
      </x:c>
      <x:c r="B472" t="str">
        <x:v>sábado</x:v>
      </x:c>
      <x:c r="C472" s="85" t="n">
        <x:v>0.5451388888888888</x:v>
      </x:c>
      <x:c r="D472" s="85" t="n">
        <x:v>0.6736111111111112</x:v>
      </x:c>
      <x:c r="E472" s="85" t="n">
        <x:v>0.7152777777777778</x:v>
      </x:c>
      <x:c r="F472" s="85" t="n">
        <x:v>0.9166666666666666</x:v>
      </x:c>
      <x:c r="G472" t="str">
        <x:f>TEXT(INT(K472/60),"00")&amp;":"&amp;TEXT(MOD(K472,60),"00")</x:f>
        <x:v>07:55</x:v>
      </x:c>
      <x:c r="H472" t="str">
        <x:f>TEXT(INT(L472/60),"00")&amp;":"&amp;TEXT(MOD(L472,60),"00")</x:f>
        <x:v>04:00</x:v>
      </x:c>
      <x:c r="I472" t="str">
        <x:f>IF(N472&gt;0,"+"&amp;TEXT(INT(N472/60),"00")&amp;":"&amp;TEXT(MOD(N472,60),"00"),"00:00")</x:f>
        <x:v>+03:55</x:v>
      </x:c>
      <x:c r="J472" t="str">
        <x:f>IF(O472&gt;0,"-"&amp;TEXT(INT(O472/60),"00")&amp;":"&amp;TEXT(MOD(O472,60),"00"),"00:00")</x:f>
        <x:v>00:00</x:v>
      </x:c>
      <x:c r="K472" t="n">
        <x:f>ROUND((F472-C472-IF(OR(D472="",E472=""),0,E472-D472))*1440,0)</x:f>
        <x:v>475</x:v>
      </x:c>
      <x:c r="L472" t="n">
        <x:v>240</x:v>
      </x:c>
      <x:c r="M472" t="n">
        <x:f>K472-L472</x:f>
        <x:v>235</x:v>
      </x:c>
      <x:c r="N472" t="n">
        <x:f>MAX(0,M472)</x:f>
        <x:v>235</x:v>
      </x:c>
      <x:c r="O472" t="n">
        <x:f>MAX(0,-M472)</x:f>
        <x:v>0</x:v>
      </x:c>
      <x:c r="P472" t="str">
        <x:v>Ponto registrado — jornada revisada</x:v>
      </x:c>
      <x:c r="Q472" t="str">
        <x:v>Horários da planilha de jornadas revisada</x:v>
      </x:c>
      <x:c r="R472" t="str">
        <x:v>2026-08</x:v>
      </x:c>
    </x:row>
    <x:row r="473" ht="21" customHeight="1">
      <x:c r="A473" s="83" t="n">
        <x:v>46265</x:v>
      </x:c>
      <x:c r="B473" t="str">
        <x:v>segunda-feira</x:v>
      </x:c>
      <x:c r="C473" s="85" t="n">
        <x:v>0.5423611111111111</x:v>
      </x:c>
      <x:c r="D473" s="85" t="n">
        <x:v>0.6708333333333333</x:v>
      </x:c>
      <x:c r="E473" s="85" t="n">
        <x:v>0.7145833333333333</x:v>
      </x:c>
      <x:c r="F473" s="85" t="n">
        <x:v>0.8888888888888888</x:v>
      </x:c>
      <x:c r="G473" t="str">
        <x:f>TEXT(INT(K473/60),"00")&amp;":"&amp;TEXT(MOD(K473,60),"00")</x:f>
        <x:v>07:16</x:v>
      </x:c>
      <x:c r="H473" t="str">
        <x:f>TEXT(INT(L473/60),"00")&amp;":"&amp;TEXT(MOD(L473,60),"00")</x:f>
        <x:v>07:20</x:v>
      </x:c>
      <x:c r="I473" t="str">
        <x:f>IF(N473&gt;0,"+"&amp;TEXT(INT(N473/60),"00")&amp;":"&amp;TEXT(MOD(N473,60),"00"),"00:00")</x:f>
        <x:v>00:00</x:v>
      </x:c>
      <x:c r="J473" t="str">
        <x:f>IF(O473&gt;0,"-"&amp;TEXT(INT(O473/60),"00")&amp;":"&amp;TEXT(MOD(O473,60),"00"),"00:00")</x:f>
        <x:v>-00:04</x:v>
      </x:c>
      <x:c r="K473" t="n">
        <x:f>ROUND((F473-C473-IF(OR(D473="",E473=""),0,E473-D473))*1440,0)</x:f>
        <x:v>436</x:v>
      </x:c>
      <x:c r="L473" t="n">
        <x:v>440</x:v>
      </x:c>
      <x:c r="M473" t="n">
        <x:f>K473-L473</x:f>
        <x:v>-4</x:v>
      </x:c>
      <x:c r="N473" t="n">
        <x:f>MAX(0,M473)</x:f>
        <x:v>0</x:v>
      </x:c>
      <x:c r="O473" t="n">
        <x:f>MAX(0,-M473)</x:f>
        <x:v>4</x:v>
      </x:c>
      <x:c r="P473" t="str">
        <x:v>Ponto registrado — complemento ilustrativo</x:v>
      </x:c>
      <x:c r="Q473" t="str">
        <x:v>Saída da CONFERÊNCIA DE CAIXA; entrada/intervalo simulados</x:v>
      </x:c>
      <x:c r="R473" t="str">
        <x:v>2026-08</x:v>
      </x:c>
    </x:row>
  </x:sheetData>
  <x:mergeCells>
    <x:mergeCell ref="A1:R1"/>
    <x:mergeCell ref="A2:R2"/>
    <x:mergeCell ref="A3:R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1" customHeight="1">
      <x:c r="A1" s="114" t="str">
        <x:v>MARINA • SALDOS MENSAIS DERIVADOS DAS LINHAS DO ESPELHO</x:v>
      </x:c>
      <x:c r="B1" s="114"/>
      <x:c r="C1" s="114"/>
      <x:c r="D1" s="114"/>
      <x:c r="E1" s="114"/>
      <x:c r="F1" s="114"/>
      <x:c r="G1" s="114"/>
    </x:row>
    <x:row r="2" ht="31" customHeight="1">
      <x:c r="A2" s="108" t="str">
        <x:v>Dados demonstrativos: somar excedentes positivos não equivale automaticamente a crédito trabalhista. Horários complementados não substituem comprovantes.</x:v>
      </x:c>
      <x:c r="B2" s="108"/>
      <x:c r="C2" s="108"/>
      <x:c r="D2" s="108"/>
      <x:c r="E2" s="108"/>
      <x:c r="F2" s="108"/>
      <x:c r="G2" s="108"/>
    </x:row>
    <x:row r="4" ht="29" customHeight="1">
      <x:c r="A4" s="113" t="str">
        <x:v>Competência</x:v>
      </x:c>
      <x:c r="B4" s="113" t="str">
        <x:v>Trabalhado (min)</x:v>
      </x:c>
      <x:c r="C4" s="113" t="str">
        <x:v>Extras (min)</x:v>
      </x:c>
      <x:c r="D4" s="113" t="str">
        <x:v>Negativos (min)</x:v>
      </x:c>
      <x:c r="E4" s="113" t="str">
        <x:v>Total Trab.</x:v>
      </x:c>
      <x:c r="F4" s="113" t="str">
        <x:v>Saldo (Extra)</x:v>
      </x:c>
      <x:c r="G4" s="113" t="str">
        <x:v>Saldo Negativo</x:v>
      </x:c>
    </x:row>
    <x:row r="5">
      <x:c r="A5" t="str">
        <x:v>2025-03</x:v>
      </x:c>
      <x:c r="B5" t="n">
        <x:f>SUMIF('Espelho completo (simulado)'!$R$5:$R$473,A5,'Espelho completo (simulado)'!$K$5:$K$473)</x:f>
        <x:v>10376</x:v>
      </x:c>
      <x:c r="C5" t="n">
        <x:f>SUMIF('Espelho completo (simulado)'!$R$5:$R$473,A5,'Espelho completo (simulado)'!$N$5:$N$473)</x:f>
        <x:v>261</x:v>
      </x:c>
      <x:c r="D5" t="n">
        <x:f>SUMIF('Espelho completo (simulado)'!$R$5:$R$473,A5,'Espelho completo (simulado)'!$O$5:$O$473)</x:f>
        <x:v>85</x:v>
      </x:c>
      <x:c r="E5" t="str">
        <x:f>TEXT(INT(B5/60),"00")&amp;":"&amp;TEXT(MOD(B5,60),"00")</x:f>
        <x:v>172:56</x:v>
      </x:c>
      <x:c r="F5" t="str">
        <x:f>TEXT(INT(C5/60),"00")&amp;":"&amp;TEXT(MOD(C5,60),"00")</x:f>
        <x:v>04:21</x:v>
      </x:c>
      <x:c r="G5" t="str">
        <x:f>TEXT(INT(D5/60),"00")&amp;":"&amp;TEXT(MOD(D5,60),"00")</x:f>
        <x:v>01:25</x:v>
      </x:c>
    </x:row>
    <x:row r="6">
      <x:c r="A6" t="str">
        <x:v>2025-04</x:v>
      </x:c>
      <x:c r="B6" t="n">
        <x:f>SUMIF('Espelho completo (simulado)'!$R$5:$R$473,A6,'Espelho completo (simulado)'!$K$5:$K$473)</x:f>
        <x:v>10611</x:v>
      </x:c>
      <x:c r="C6" t="n">
        <x:f>SUMIF('Espelho completo (simulado)'!$R$5:$R$473,A6,'Espelho completo (simulado)'!$N$5:$N$473)</x:f>
        <x:v>51</x:v>
      </x:c>
      <x:c r="D6" t="n">
        <x:f>SUMIF('Espelho completo (simulado)'!$R$5:$R$473,A6,'Espelho completo (simulado)'!$O$5:$O$473)</x:f>
        <x:v>80</x:v>
      </x:c>
      <x:c r="E6" t="str">
        <x:f>TEXT(INT(B6/60),"00")&amp;":"&amp;TEXT(MOD(B6,60),"00")</x:f>
        <x:v>176:51</x:v>
      </x:c>
      <x:c r="F6" t="str">
        <x:f>TEXT(INT(C6/60),"00")&amp;":"&amp;TEXT(MOD(C6,60),"00")</x:f>
        <x:v>00:51</x:v>
      </x:c>
      <x:c r="G6" t="str">
        <x:f>TEXT(INT(D6/60),"00")&amp;":"&amp;TEXT(MOD(D6,60),"00")</x:f>
        <x:v>01:20</x:v>
      </x:c>
    </x:row>
    <x:row r="7">
      <x:c r="A7" t="str">
        <x:v>2025-05</x:v>
      </x:c>
      <x:c r="B7" t="n">
        <x:f>SUMIF('Espelho completo (simulado)'!$R$5:$R$473,A7,'Espelho completo (simulado)'!$K$5:$K$473)</x:f>
        <x:v>10775</x:v>
      </x:c>
      <x:c r="C7" t="n">
        <x:f>SUMIF('Espelho completo (simulado)'!$R$5:$R$473,A7,'Espelho completo (simulado)'!$N$5:$N$473)</x:f>
        <x:v>17</x:v>
      </x:c>
      <x:c r="D7" t="n">
        <x:f>SUMIF('Espelho completo (simulado)'!$R$5:$R$473,A7,'Espelho completo (simulado)'!$O$5:$O$473)</x:f>
        <x:v>122</x:v>
      </x:c>
      <x:c r="E7" t="str">
        <x:f>TEXT(INT(B7/60),"00")&amp;":"&amp;TEXT(MOD(B7,60),"00")</x:f>
        <x:v>179:35</x:v>
      </x:c>
      <x:c r="F7" t="str">
        <x:f>TEXT(INT(C7/60),"00")&amp;":"&amp;TEXT(MOD(C7,60),"00")</x:f>
        <x:v>00:17</x:v>
      </x:c>
      <x:c r="G7" t="str">
        <x:f>TEXT(INT(D7/60),"00")&amp;":"&amp;TEXT(MOD(D7,60),"00")</x:f>
        <x:v>02:02</x:v>
      </x:c>
    </x:row>
    <x:row r="8">
      <x:c r="A8" t="str">
        <x:v>2025-06</x:v>
      </x:c>
      <x:c r="B8" t="n">
        <x:f>SUMIF('Espelho completo (simulado)'!$R$5:$R$473,A8,'Espelho completo (simulado)'!$K$5:$K$473)</x:f>
        <x:v>10151</x:v>
      </x:c>
      <x:c r="C8" t="n">
        <x:f>SUMIF('Espelho completo (simulado)'!$R$5:$R$473,A8,'Espelho completo (simulado)'!$N$5:$N$473)</x:f>
        <x:v>66</x:v>
      </x:c>
      <x:c r="D8" t="n">
        <x:f>SUMIF('Espelho completo (simulado)'!$R$5:$R$473,A8,'Espelho completo (simulado)'!$O$5:$O$473)</x:f>
        <x:v>115</x:v>
      </x:c>
      <x:c r="E8" t="str">
        <x:f>TEXT(INT(B8/60),"00")&amp;":"&amp;TEXT(MOD(B8,60),"00")</x:f>
        <x:v>169:11</x:v>
      </x:c>
      <x:c r="F8" t="str">
        <x:f>TEXT(INT(C8/60),"00")&amp;":"&amp;TEXT(MOD(C8,60),"00")</x:f>
        <x:v>01:06</x:v>
      </x:c>
      <x:c r="G8" t="str">
        <x:f>TEXT(INT(D8/60),"00")&amp;":"&amp;TEXT(MOD(D8,60),"00")</x:f>
        <x:v>01:55</x:v>
      </x:c>
    </x:row>
    <x:row r="9">
      <x:c r="A9" t="str">
        <x:v>2025-07</x:v>
      </x:c>
      <x:c r="B9" t="n">
        <x:f>SUMIF('Espelho completo (simulado)'!$R$5:$R$473,A9,'Espelho completo (simulado)'!$K$5:$K$473)</x:f>
        <x:v>10966</x:v>
      </x:c>
      <x:c r="C9" t="n">
        <x:f>SUMIF('Espelho completo (simulado)'!$R$5:$R$473,A9,'Espelho completo (simulado)'!$N$5:$N$473)</x:f>
        <x:v>16</x:v>
      </x:c>
      <x:c r="D9" t="n">
        <x:f>SUMIF('Espelho completo (simulado)'!$R$5:$R$473,A9,'Espelho completo (simulado)'!$O$5:$O$473)</x:f>
        <x:v>130</x:v>
      </x:c>
      <x:c r="E9" t="str">
        <x:f>TEXT(INT(B9/60),"00")&amp;":"&amp;TEXT(MOD(B9,60),"00")</x:f>
        <x:v>182:46</x:v>
      </x:c>
      <x:c r="F9" t="str">
        <x:f>TEXT(INT(C9/60),"00")&amp;":"&amp;TEXT(MOD(C9,60),"00")</x:f>
        <x:v>00:16</x:v>
      </x:c>
      <x:c r="G9" t="str">
        <x:f>TEXT(INT(D9/60),"00")&amp;":"&amp;TEXT(MOD(D9,60),"00")</x:f>
        <x:v>02:10</x:v>
      </x:c>
    </x:row>
    <x:row r="10">
      <x:c r="A10" t="str">
        <x:v>2025-08</x:v>
      </x:c>
      <x:c r="B10" t="n">
        <x:f>SUMIF('Espelho completo (simulado)'!$R$5:$R$473,A10,'Espelho completo (simulado)'!$K$5:$K$473)</x:f>
        <x:v>10397</x:v>
      </x:c>
      <x:c r="C10" t="n">
        <x:f>SUMIF('Espelho completo (simulado)'!$R$5:$R$473,A10,'Espelho completo (simulado)'!$N$5:$N$473)</x:f>
        <x:v>56</x:v>
      </x:c>
      <x:c r="D10" t="n">
        <x:f>SUMIF('Espelho completo (simulado)'!$R$5:$R$473,A10,'Espelho completo (simulado)'!$O$5:$O$473)</x:f>
        <x:v>99</x:v>
      </x:c>
      <x:c r="E10" t="str">
        <x:f>TEXT(INT(B10/60),"00")&amp;":"&amp;TEXT(MOD(B10,60),"00")</x:f>
        <x:v>173:17</x:v>
      </x:c>
      <x:c r="F10" t="str">
        <x:f>TEXT(INT(C10/60),"00")&amp;":"&amp;TEXT(MOD(C10,60),"00")</x:f>
        <x:v>00:56</x:v>
      </x:c>
      <x:c r="G10" t="str">
        <x:f>TEXT(INT(D10/60),"00")&amp;":"&amp;TEXT(MOD(D10,60),"00")</x:f>
        <x:v>01:39</x:v>
      </x:c>
    </x:row>
    <x:row r="11">
      <x:c r="A11" t="str">
        <x:v>2025-09</x:v>
      </x:c>
      <x:c r="B11" t="n">
        <x:f>SUMIF('Espelho completo (simulado)'!$R$5:$R$473,A11,'Espelho completo (simulado)'!$K$5:$K$473)</x:f>
        <x:v>10798</x:v>
      </x:c>
      <x:c r="C11" t="n">
        <x:f>SUMIF('Espelho completo (simulado)'!$R$5:$R$473,A11,'Espelho completo (simulado)'!$N$5:$N$473)</x:f>
        <x:v>277</x:v>
      </x:c>
      <x:c r="D11" t="n">
        <x:f>SUMIF('Espelho completo (simulado)'!$R$5:$R$473,A11,'Espelho completo (simulado)'!$O$5:$O$473)</x:f>
        <x:v>119</x:v>
      </x:c>
      <x:c r="E11" t="str">
        <x:f>TEXT(INT(B11/60),"00")&amp;":"&amp;TEXT(MOD(B11,60),"00")</x:f>
        <x:v>179:58</x:v>
      </x:c>
      <x:c r="F11" t="str">
        <x:f>TEXT(INT(C11/60),"00")&amp;":"&amp;TEXT(MOD(C11,60),"00")</x:f>
        <x:v>04:37</x:v>
      </x:c>
      <x:c r="G11" t="str">
        <x:f>TEXT(INT(D11/60),"00")&amp;":"&amp;TEXT(MOD(D11,60),"00")</x:f>
        <x:v>01:59</x:v>
      </x:c>
    </x:row>
    <x:row r="12">
      <x:c r="A12" t="str">
        <x:v>2025-10</x:v>
      </x:c>
      <x:c r="B12" t="n">
        <x:f>SUMIF('Espelho completo (simulado)'!$R$5:$R$473,A12,'Espelho completo (simulado)'!$K$5:$K$473)</x:f>
        <x:v>11005</x:v>
      </x:c>
      <x:c r="C12" t="n">
        <x:f>SUMIF('Espelho completo (simulado)'!$R$5:$R$473,A12,'Espelho completo (simulado)'!$N$5:$N$473)</x:f>
        <x:v>35</x:v>
      </x:c>
      <x:c r="D12" t="n">
        <x:f>SUMIF('Espelho completo (simulado)'!$R$5:$R$473,A12,'Espelho completo (simulado)'!$O$5:$O$473)</x:f>
        <x:v>110</x:v>
      </x:c>
      <x:c r="E12" t="str">
        <x:f>TEXT(INT(B12/60),"00")&amp;":"&amp;TEXT(MOD(B12,60),"00")</x:f>
        <x:v>183:25</x:v>
      </x:c>
      <x:c r="F12" t="str">
        <x:f>TEXT(INT(C12/60),"00")&amp;":"&amp;TEXT(MOD(C12,60),"00")</x:f>
        <x:v>00:35</x:v>
      </x:c>
      <x:c r="G12" t="str">
        <x:f>TEXT(INT(D12/60),"00")&amp;":"&amp;TEXT(MOD(D12,60),"00")</x:f>
        <x:v>01:50</x:v>
      </x:c>
    </x:row>
    <x:row r="13">
      <x:c r="A13" t="str">
        <x:v>2025-11</x:v>
      </x:c>
      <x:c r="B13" t="n">
        <x:f>SUMIF('Espelho completo (simulado)'!$R$5:$R$473,A13,'Espelho completo (simulado)'!$K$5:$K$473)</x:f>
        <x:v>9975</x:v>
      </x:c>
      <x:c r="C13" t="n">
        <x:f>SUMIF('Espelho completo (simulado)'!$R$5:$R$473,A13,'Espelho completo (simulado)'!$N$5:$N$473)</x:f>
        <x:v>47</x:v>
      </x:c>
      <x:c r="D13" t="n">
        <x:f>SUMIF('Espelho completo (simulado)'!$R$5:$R$473,A13,'Espelho completo (simulado)'!$O$5:$O$473)</x:f>
        <x:v>72</x:v>
      </x:c>
      <x:c r="E13" t="str">
        <x:f>TEXT(INT(B13/60),"00")&amp;":"&amp;TEXT(MOD(B13,60),"00")</x:f>
        <x:v>166:15</x:v>
      </x:c>
      <x:c r="F13" t="str">
        <x:f>TEXT(INT(C13/60),"00")&amp;":"&amp;TEXT(MOD(C13,60),"00")</x:f>
        <x:v>00:47</x:v>
      </x:c>
      <x:c r="G13" t="str">
        <x:f>TEXT(INT(D13/60),"00")&amp;":"&amp;TEXT(MOD(D13,60),"00")</x:f>
        <x:v>01:12</x:v>
      </x:c>
    </x:row>
    <x:row r="14">
      <x:c r="A14" t="str">
        <x:v>2025-12</x:v>
      </x:c>
      <x:c r="B14" t="n">
        <x:f>SUMIF('Espelho completo (simulado)'!$R$5:$R$473,A14,'Espelho completo (simulado)'!$K$5:$K$473)</x:f>
        <x:v>11002</x:v>
      </x:c>
      <x:c r="C14" t="n">
        <x:f>SUMIF('Espelho completo (simulado)'!$R$5:$R$473,A14,'Espelho completo (simulado)'!$N$5:$N$473)</x:f>
        <x:v>53</x:v>
      </x:c>
      <x:c r="D14" t="n">
        <x:f>SUMIF('Espelho completo (simulado)'!$R$5:$R$473,A14,'Espelho completo (simulado)'!$O$5:$O$473)</x:f>
        <x:v>131</x:v>
      </x:c>
      <x:c r="E14" t="str">
        <x:f>TEXT(INT(B14/60),"00")&amp;":"&amp;TEXT(MOD(B14,60),"00")</x:f>
        <x:v>183:22</x:v>
      </x:c>
      <x:c r="F14" t="str">
        <x:f>TEXT(INT(C14/60),"00")&amp;":"&amp;TEXT(MOD(C14,60),"00")</x:f>
        <x:v>00:53</x:v>
      </x:c>
      <x:c r="G14" t="str">
        <x:f>TEXT(INT(D14/60),"00")&amp;":"&amp;TEXT(MOD(D14,60),"00")</x:f>
        <x:v>02:11</x:v>
      </x:c>
    </x:row>
    <x:row r="15">
      <x:c r="A15" t="str">
        <x:v>2026-01</x:v>
      </x:c>
      <x:c r="B15" t="n">
        <x:f>SUMIF('Espelho completo (simulado)'!$R$5:$R$473,A15,'Espelho completo (simulado)'!$K$5:$K$473)</x:f>
        <x:v>10830</x:v>
      </x:c>
      <x:c r="C15" t="n">
        <x:f>SUMIF('Espelho completo (simulado)'!$R$5:$R$473,A15,'Espelho completo (simulado)'!$N$5:$N$473)</x:f>
        <x:v>58</x:v>
      </x:c>
      <x:c r="D15" t="n">
        <x:f>SUMIF('Espelho completo (simulado)'!$R$5:$R$473,A15,'Espelho completo (simulado)'!$O$5:$O$473)</x:f>
        <x:v>108</x:v>
      </x:c>
      <x:c r="E15" t="str">
        <x:f>TEXT(INT(B15/60),"00")&amp;":"&amp;TEXT(MOD(B15,60),"00")</x:f>
        <x:v>180:30</x:v>
      </x:c>
      <x:c r="F15" t="str">
        <x:f>TEXT(INT(C15/60),"00")&amp;":"&amp;TEXT(MOD(C15,60),"00")</x:f>
        <x:v>00:58</x:v>
      </x:c>
      <x:c r="G15" t="str">
        <x:f>TEXT(INT(D15/60),"00")&amp;":"&amp;TEXT(MOD(D15,60),"00")</x:f>
        <x:v>01:48</x:v>
      </x:c>
    </x:row>
    <x:row r="16">
      <x:c r="A16" t="str">
        <x:v>2026-02</x:v>
      </x:c>
      <x:c r="B16" t="n">
        <x:f>SUMIF('Espelho completo (simulado)'!$R$5:$R$473,A16,'Espelho completo (simulado)'!$K$5:$K$473)</x:f>
        <x:v>9691</x:v>
      </x:c>
      <x:c r="C16" t="n">
        <x:f>SUMIF('Espelho completo (simulado)'!$R$5:$R$473,A16,'Espelho completo (simulado)'!$N$5:$N$473)</x:f>
        <x:v>8</x:v>
      </x:c>
      <x:c r="D16" t="n">
        <x:f>SUMIF('Espelho completo (simulado)'!$R$5:$R$473,A16,'Espelho completo (simulado)'!$O$5:$O$473)</x:f>
        <x:v>77</x:v>
      </x:c>
      <x:c r="E16" t="str">
        <x:f>TEXT(INT(B16/60),"00")&amp;":"&amp;TEXT(MOD(B16,60),"00")</x:f>
        <x:v>161:31</x:v>
      </x:c>
      <x:c r="F16" t="str">
        <x:f>TEXT(INT(C16/60),"00")&amp;":"&amp;TEXT(MOD(C16,60),"00")</x:f>
        <x:v>00:08</x:v>
      </x:c>
      <x:c r="G16" t="str">
        <x:f>TEXT(INT(D16/60),"00")&amp;":"&amp;TEXT(MOD(D16,60),"00")</x:f>
        <x:v>01:17</x:v>
      </x:c>
    </x:row>
    <x:row r="17">
      <x:c r="A17" t="str">
        <x:v>2026-03</x:v>
      </x:c>
      <x:c r="B17" t="n">
        <x:f>SUMIF('Espelho completo (simulado)'!$R$5:$R$473,A17,'Espelho completo (simulado)'!$K$5:$K$473)</x:f>
        <x:v>10561</x:v>
      </x:c>
      <x:c r="C17" t="n">
        <x:f>SUMIF('Espelho completo (simulado)'!$R$5:$R$473,A17,'Espelho completo (simulado)'!$N$5:$N$473)</x:f>
        <x:v>39</x:v>
      </x:c>
      <x:c r="D17" t="n">
        <x:f>SUMIF('Espelho completo (simulado)'!$R$5:$R$473,A17,'Espelho completo (simulado)'!$O$5:$O$473)</x:f>
        <x:v>118</x:v>
      </x:c>
      <x:c r="E17" t="str">
        <x:f>TEXT(INT(B17/60),"00")&amp;":"&amp;TEXT(MOD(B17,60),"00")</x:f>
        <x:v>176:01</x:v>
      </x:c>
      <x:c r="F17" t="str">
        <x:f>TEXT(INT(C17/60),"00")&amp;":"&amp;TEXT(MOD(C17,60),"00")</x:f>
        <x:v>00:39</x:v>
      </x:c>
      <x:c r="G17" t="str">
        <x:f>TEXT(INT(D17/60),"00")&amp;":"&amp;TEXT(MOD(D17,60),"00")</x:f>
        <x:v>01:58</x:v>
      </x:c>
    </x:row>
    <x:row r="18">
      <x:c r="A18" t="str">
        <x:v>2026-04</x:v>
      </x:c>
      <x:c r="B18" t="n">
        <x:f>SUMIF('Espelho completo (simulado)'!$R$5:$R$473,A18,'Espelho completo (simulado)'!$K$5:$K$473)</x:f>
        <x:v>10598</x:v>
      </x:c>
      <x:c r="C18" t="n">
        <x:f>SUMIF('Espelho completo (simulado)'!$R$5:$R$473,A18,'Espelho completo (simulado)'!$N$5:$N$473)</x:f>
        <x:v>56</x:v>
      </x:c>
      <x:c r="D18" t="n">
        <x:f>SUMIF('Espelho completo (simulado)'!$R$5:$R$473,A18,'Espelho completo (simulado)'!$O$5:$O$473)</x:f>
        <x:v>98</x:v>
      </x:c>
      <x:c r="E18" t="str">
        <x:f>TEXT(INT(B18/60),"00")&amp;":"&amp;TEXT(MOD(B18,60),"00")</x:f>
        <x:v>176:38</x:v>
      </x:c>
      <x:c r="F18" t="str">
        <x:f>TEXT(INT(C18/60),"00")&amp;":"&amp;TEXT(MOD(C18,60),"00")</x:f>
        <x:v>00:56</x:v>
      </x:c>
      <x:c r="G18" t="str">
        <x:f>TEXT(INT(D18/60),"00")&amp;":"&amp;TEXT(MOD(D18,60),"00")</x:f>
        <x:v>01:38</x:v>
      </x:c>
    </x:row>
    <x:row r="19">
      <x:c r="A19" t="str">
        <x:v>2026-05</x:v>
      </x:c>
      <x:c r="B19" t="n">
        <x:f>SUMIF('Espelho completo (simulado)'!$R$5:$R$473,A19,'Espelho completo (simulado)'!$K$5:$K$473)</x:f>
        <x:v>10598</x:v>
      </x:c>
      <x:c r="C19" t="n">
        <x:f>SUMIF('Espelho completo (simulado)'!$R$5:$R$473,A19,'Espelho completo (simulado)'!$N$5:$N$473)</x:f>
        <x:v>280</x:v>
      </x:c>
      <x:c r="D19" t="n">
        <x:f>SUMIF('Espelho completo (simulado)'!$R$5:$R$473,A19,'Espelho completo (simulado)'!$O$5:$O$473)</x:f>
        <x:v>122</x:v>
      </x:c>
      <x:c r="E19" t="str">
        <x:f>TEXT(INT(B19/60),"00")&amp;":"&amp;TEXT(MOD(B19,60),"00")</x:f>
        <x:v>176:38</x:v>
      </x:c>
      <x:c r="F19" t="str">
        <x:f>TEXT(INT(C19/60),"00")&amp;":"&amp;TEXT(MOD(C19,60),"00")</x:f>
        <x:v>04:40</x:v>
      </x:c>
      <x:c r="G19" t="str">
        <x:f>TEXT(INT(D19/60),"00")&amp;":"&amp;TEXT(MOD(D19,60),"00")</x:f>
        <x:v>02:02</x:v>
      </x:c>
    </x:row>
    <x:row r="20">
      <x:c r="A20" t="str">
        <x:v>2026-06</x:v>
      </x:c>
      <x:c r="B20" t="n">
        <x:f>SUMIF('Espelho completo (simulado)'!$R$5:$R$473,A20,'Espelho completo (simulado)'!$K$5:$K$473)</x:f>
        <x:v>10572</x:v>
      </x:c>
      <x:c r="C20" t="n">
        <x:f>SUMIF('Espelho completo (simulado)'!$R$5:$R$473,A20,'Espelho completo (simulado)'!$N$5:$N$473)</x:f>
        <x:v>38</x:v>
      </x:c>
      <x:c r="D20" t="n">
        <x:f>SUMIF('Espelho completo (simulado)'!$R$5:$R$473,A20,'Espelho completo (simulado)'!$O$5:$O$473)</x:f>
        <x:v>106</x:v>
      </x:c>
      <x:c r="E20" t="str">
        <x:f>TEXT(INT(B20/60),"00")&amp;":"&amp;TEXT(MOD(B20,60),"00")</x:f>
        <x:v>176:12</x:v>
      </x:c>
      <x:c r="F20" t="str">
        <x:f>TEXT(INT(C20/60),"00")&amp;":"&amp;TEXT(MOD(C20,60),"00")</x:f>
        <x:v>00:38</x:v>
      </x:c>
      <x:c r="G20" t="str">
        <x:f>TEXT(INT(D20/60),"00")&amp;":"&amp;TEXT(MOD(D20,60),"00")</x:f>
        <x:v>01:46</x:v>
      </x:c>
    </x:row>
    <x:row r="21">
      <x:c r="A21" t="str">
        <x:v>2026-07</x:v>
      </x:c>
      <x:c r="B21" t="n">
        <x:f>SUMIF('Espelho completo (simulado)'!$R$5:$R$473,A21,'Espelho completo (simulado)'!$K$5:$K$473)</x:f>
        <x:v>11014</x:v>
      </x:c>
      <x:c r="C21" t="n">
        <x:f>SUMIF('Espelho completo (simulado)'!$R$5:$R$473,A21,'Espelho completo (simulado)'!$N$5:$N$473)</x:f>
        <x:v>33</x:v>
      </x:c>
      <x:c r="D21" t="n">
        <x:f>SUMIF('Espelho completo (simulado)'!$R$5:$R$473,A21,'Espelho completo (simulado)'!$O$5:$O$473)</x:f>
        <x:v>99</x:v>
      </x:c>
      <x:c r="E21" t="str">
        <x:f>TEXT(INT(B21/60),"00")&amp;":"&amp;TEXT(MOD(B21,60),"00")</x:f>
        <x:v>183:34</x:v>
      </x:c>
      <x:c r="F21" t="str">
        <x:f>TEXT(INT(C21/60),"00")&amp;":"&amp;TEXT(MOD(C21,60),"00")</x:f>
        <x:v>00:33</x:v>
      </x:c>
      <x:c r="G21" t="str">
        <x:f>TEXT(INT(D21/60),"00")&amp;":"&amp;TEXT(MOD(D21,60),"00")</x:f>
        <x:v>01:39</x:v>
      </x:c>
    </x:row>
    <x:row r="22">
      <x:c r="A22" t="str">
        <x:v>2026-08</x:v>
      </x:c>
      <x:c r="B22" t="n">
        <x:f>SUMIF('Espelho completo (simulado)'!$R$5:$R$473,A22,'Espelho completo (simulado)'!$K$5:$K$473)</x:f>
        <x:v>10609</x:v>
      </x:c>
      <x:c r="C22" t="n">
        <x:f>SUMIF('Espelho completo (simulado)'!$R$5:$R$473,A22,'Espelho completo (simulado)'!$N$5:$N$473)</x:f>
        <x:v>253</x:v>
      </x:c>
      <x:c r="D22" t="n">
        <x:f>SUMIF('Espelho completo (simulado)'!$R$5:$R$473,A22,'Espelho completo (simulado)'!$O$5:$O$473)</x:f>
        <x:v>84</x:v>
      </x:c>
      <x:c r="E22" t="str">
        <x:f>TEXT(INT(B22/60),"00")&amp;":"&amp;TEXT(MOD(B22,60),"00")</x:f>
        <x:v>176:49</x:v>
      </x:c>
      <x:c r="F22" t="str">
        <x:f>TEXT(INT(C22/60),"00")&amp;":"&amp;TEXT(MOD(C22,60),"00")</x:f>
        <x:v>04:13</x:v>
      </x:c>
      <x:c r="G22" t="str">
        <x:f>TEXT(INT(D22/60),"00")&amp;":"&amp;TEXT(MOD(D22,60),"00")</x:f>
        <x:v>01:24</x:v>
      </x:c>
    </x:row>
  </x:sheetData>
  <x:mergeCells>
    <x:mergeCell ref="A1:G1"/>
    <x:mergeCell ref="A2:G2"/>
  </x:mergeCells>
  <x:pageMargins left="0.7" right="0.7" top="0.75" bottom="0.75" header="0.3" footer="0.3"/>
</x:worksheet>
</file>